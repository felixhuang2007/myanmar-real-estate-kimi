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 activeTab="5"/>
  </bookViews>
  <sheets>
    <sheet name="1.项目总览" sheetId="1" r:id="rId1"/>
    <sheet name="2.C端功能明细" sheetId="2" r:id="rId2"/>
    <sheet name="3.B端功能明细" sheetId="3" r:id="rId3"/>
    <sheet name="4.后台功能明细" sheetId="4" r:id="rId4"/>
    <sheet name="5.UI设计交付物" sheetId="5" r:id="rId5"/>
    <sheet name="6.测试交付物" sheetId="6" r:id="rId6"/>
    <sheet name="7.文档交付物" sheetId="7" r:id="rId7"/>
    <sheet name="8.服务端API明细" sheetId="8" r:id="rId8"/>
    <sheet name="9.运维技术支持" sheetId="9" r:id="rId9"/>
    <sheet name="10.项目实施计划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<sst xmlns="http://schemas.openxmlformats.org/spreadsheetml/2006/main" count="979" uniqueCount="757">
  <si>
    <t>缅甸房产平台技术开发项目 - 专业报价方案</t>
  </si>
  <si>
    <t>项目基本信息</t>
  </si>
  <si>
    <t>项目名称</t>
  </si>
  <si>
    <t>缅甸房产平台多端一体化开发（贝壳模式）</t>
  </si>
  <si>
    <t>报价日期</t>
  </si>
  <si>
    <t>2026/1/15（第二次修订2026/1/27）</t>
  </si>
  <si>
    <t>有效期</t>
  </si>
  <si>
    <t>30天</t>
  </si>
  <si>
    <t>项目总价</t>
  </si>
  <si>
    <t>开发周期</t>
  </si>
  <si>
    <t>4个月（16周，约80个工作日）</t>
  </si>
  <si>
    <t>团队规模</t>
  </si>
  <si>
    <t>8-10人团队（安卓/苹果开发工程师各1人，后端JAVA开发3-5人，产品经理1人，UI设计/测试各1人）</t>
  </si>
  <si>
    <t>交付平台</t>
  </si>
  <si>
    <t>C端用户平台</t>
  </si>
  <si>
    <t>Android APP + iOS APP + Web网站 （苹果，安卓 国际商店与国内商店，华为应用商店（非鸿蒙）</t>
  </si>
  <si>
    <t>B端经纪人平台</t>
  </si>
  <si>
    <t>Android APP + iOS APP</t>
  </si>
  <si>
    <t>管理后台</t>
  </si>
  <si>
    <t>Web管理系统</t>
  </si>
  <si>
    <t>服务端</t>
  </si>
  <si>
    <t>REST API + 微服务架构</t>
  </si>
  <si>
    <t>技术架构</t>
  </si>
  <si>
    <t>前端技术</t>
  </si>
  <si>
    <t>Android(Kotlin) / iOS(Swift) / Vue.js</t>
  </si>
  <si>
    <t>后端技术</t>
  </si>
  <si>
    <t>Java</t>
  </si>
  <si>
    <t>数据库</t>
  </si>
  <si>
    <t>MySQL 8.0 + Redis 6.0 + Elasticsearch 7.x</t>
  </si>
  <si>
    <t>部署方案</t>
  </si>
  <si>
    <t xml:space="preserve">腾讯云(新加坡/泰国) + Docker + K8s，CDN </t>
  </si>
  <si>
    <t>报价汇总表</t>
  </si>
  <si>
    <t>模块名称</t>
  </si>
  <si>
    <t>工作量(人天)</t>
  </si>
  <si>
    <t>平均单价(元/天)</t>
  </si>
  <si>
    <t>金额(元)</t>
  </si>
  <si>
    <t>C端用户系统（Android + iOS + Web）</t>
  </si>
  <si>
    <t>B端经纪人系统（Android + iOS）</t>
  </si>
  <si>
    <t>管理后台系统（Web）</t>
  </si>
  <si>
    <t>服务端开发（API + 微服务）</t>
  </si>
  <si>
    <t>UI/UX设计</t>
  </si>
  <si>
    <t>测试与质量保证（功能，性能，安全）</t>
  </si>
  <si>
    <t>项目管理与文档</t>
  </si>
  <si>
    <t>培训与技术支持</t>
  </si>
  <si>
    <t>免费运维服务（12个月）</t>
  </si>
  <si>
    <t>合计</t>
  </si>
  <si>
    <t>-</t>
  </si>
  <si>
    <t>费用说明</t>
  </si>
  <si>
    <t>• 包含内容：所有P0核心功能开发 + 12个月免费技术支持 + 用户培训</t>
  </si>
  <si>
    <t>• 不含内容：服务器租赁费、域名、SSL证书、第三方服务费（支付/地图/短信/CDN）</t>
  </si>
  <si>
    <t>其他说明</t>
  </si>
  <si>
    <t>•  符合缅甸《网络安全法》《电子交易法》等法规，确保系统弱网可用、数据安全</t>
  </si>
  <si>
    <t>•  相关需要的三方API(语音识别输入等等）</t>
  </si>
  <si>
    <t>C端用户系统功能明细清单</t>
  </si>
  <si>
    <t>功能模块</t>
  </si>
  <si>
    <t>二级功能</t>
  </si>
  <si>
    <t>三级功能</t>
  </si>
  <si>
    <t>功能描述（增删改查）</t>
  </si>
  <si>
    <t>Android
(人天)</t>
  </si>
  <si>
    <t>iOS
(人天)</t>
  </si>
  <si>
    <t>用户账号体系</t>
  </si>
  <si>
    <t>用户体系</t>
  </si>
  <si>
    <t>用户注册</t>
  </si>
  <si>
    <t>手机号注册</t>
  </si>
  <si>
    <t>增:注册账号、查:验证手机号唯一性、改:发送OTP验证码</t>
  </si>
  <si>
    <t>社交账号注册</t>
  </si>
  <si>
    <t>增:FB/Google/TikTok登录、查:第三方授权、改:绑定本地账号</t>
  </si>
  <si>
    <t>用户登录</t>
  </si>
  <si>
    <t>密码登录</t>
  </si>
  <si>
    <t>查:验证账号密码、增:生成JWT Token、改:更新登录时间</t>
  </si>
  <si>
    <t>OTP登录</t>
  </si>
  <si>
    <t>改:发送验证码、查:验证OTP、增:创建会话</t>
  </si>
  <si>
    <t>用户信息</t>
  </si>
  <si>
    <t>个人资料</t>
  </si>
  <si>
    <t>查:获取用户信息、改:修改昵称/头像/手机、增:上传头像</t>
  </si>
  <si>
    <t>实名认证</t>
  </si>
  <si>
    <t>1.增:提交身份证/护照、查:查询认证状态、改:审核通过/拒绝
2.中介公司必须实名认证（上传营业执照等），个人实名认证的部分消息设为非必填</t>
  </si>
  <si>
    <t>首页门户</t>
  </si>
  <si>
    <t/>
  </si>
  <si>
    <t>搜索功能</t>
  </si>
  <si>
    <t>关键词搜索</t>
  </si>
  <si>
    <t>查:搜索商圈/小区/地址、增:保存搜索历史、删:清空历史</t>
  </si>
  <si>
    <t>热门搜索</t>
  </si>
  <si>
    <t>查:展示热门搜索词、增:点击量统计</t>
  </si>
  <si>
    <t>广告Banner</t>
  </si>
  <si>
    <t>Banner展示</t>
  </si>
  <si>
    <t>查:获取广告列表、增:点击统计、改:跳转处理</t>
  </si>
  <si>
    <t>快捷入口</t>
  </si>
  <si>
    <t>分类导航</t>
  </si>
  <si>
    <t>查:新房/二手房/租房/写字楼入口</t>
  </si>
  <si>
    <t>房源搜索筛选</t>
  </si>
  <si>
    <t>基础筛选</t>
  </si>
  <si>
    <t>区域筛选</t>
  </si>
  <si>
    <t>查:城市/区域/商圈三级联动、增:选中条件、删:清空筛选</t>
  </si>
  <si>
    <t>价格筛选</t>
  </si>
  <si>
    <t>查:价格区间列表、改:自定义价格输入、增:应用筛选</t>
  </si>
  <si>
    <t>户型筛选</t>
  </si>
  <si>
    <t>查:1-5室及以上、增:多选户型、改:确认筛选</t>
  </si>
  <si>
    <t>高级筛选</t>
  </si>
  <si>
    <t>朝向装修</t>
  </si>
  <si>
    <t>查:朝向列表(东/南/西/北)、查:装修程度(毛坯/简装/精装)</t>
  </si>
  <si>
    <t>房源类型</t>
  </si>
  <si>
    <t>查:新房/二手房/租房/商铺/写字楼、增:切换类型</t>
  </si>
  <si>
    <t>首页向左滑动后，出现以下标签：车辆、签证、机票、酒店旅游、工商注册、快递物流、广告/传媒、婚庆、餐饮美食、家政、美业养生、求职招聘、翻译服务</t>
  </si>
  <si>
    <t>排序功能</t>
  </si>
  <si>
    <t>排序方式</t>
  </si>
  <si>
    <t>改:默认/价格升序/价格降序/最新发布/距离最近</t>
  </si>
  <si>
    <t>地图找房</t>
  </si>
  <si>
    <t>地图展示</t>
  </si>
  <si>
    <t>地图加载</t>
  </si>
  <si>
    <t>查:加载地图(Mapbox/Google Maps)、改:拖拽/缩放</t>
  </si>
  <si>
    <t>房源标注</t>
  </si>
  <si>
    <t>查:房源标记点、增:点击查看简要信息、改:切换显示模式</t>
  </si>
  <si>
    <t>热区展示</t>
  </si>
  <si>
    <t>价格热区</t>
  </si>
  <si>
    <t>查:按价格分层渲染颜色、改:切换热区/标注模式</t>
  </si>
  <si>
    <t>周边配套</t>
  </si>
  <si>
    <t>POI展示</t>
  </si>
  <si>
    <t>查:学校/医院/商场/地铁/公园等POI、增:距离标注</t>
  </si>
  <si>
    <t>列表切换</t>
  </si>
  <si>
    <t>地图列表切换</t>
  </si>
  <si>
    <t>改:地图/列表双模式切换、查:保持筛选条件</t>
  </si>
  <si>
    <t>房源详情</t>
  </si>
  <si>
    <t>基础信息</t>
  </si>
  <si>
    <t>房源信息展示</t>
  </si>
  <si>
    <t>查:标题/价格/面积/户型/楼层/朝向/装修/产权年限</t>
  </si>
  <si>
    <t>房东信息</t>
  </si>
  <si>
    <t>查:房东昵称/认证标识/联系方式</t>
  </si>
  <si>
    <t>媒体展示</t>
  </si>
  <si>
    <t>图片轮播</t>
  </si>
  <si>
    <t>查:高清图片轮播、增:点击放大查看、改:左右滑动</t>
  </si>
  <si>
    <t>视频播放</t>
  </si>
  <si>
    <t>查:房源视频、增:播放控制、改:全屏播放</t>
  </si>
  <si>
    <t>真房源标识</t>
  </si>
  <si>
    <t>验真标记</t>
  </si>
  <si>
    <t>查:已验真标识、查:验真照片(GPS打卡/时间水印)</t>
  </si>
  <si>
    <t>配套设施</t>
  </si>
  <si>
    <t>查:小区配套(物业/停车/绿化/电梯)、查:周边配套</t>
  </si>
  <si>
    <t>互动功能</t>
  </si>
  <si>
    <t>收藏</t>
  </si>
  <si>
    <t>增:添加收藏、删:取消收藏、查:收藏状态</t>
  </si>
  <si>
    <t>分享</t>
  </si>
  <si>
    <t>增:分享到FB/viber/wechat/WhatsApp/复制链接</t>
  </si>
  <si>
    <t>举报</t>
  </si>
  <si>
    <t>增:提交举报(虚假/重复/违规)、改:上传证据</t>
  </si>
  <si>
    <t>在线咨询</t>
  </si>
  <si>
    <t>IM聊天</t>
  </si>
  <si>
    <t>发送消息</t>
  </si>
  <si>
    <t>增:发送文字/图片/语音、查:聊天记录、删:删除消息</t>
  </si>
  <si>
    <t>消息通知</t>
  </si>
  <si>
    <t>查:未读消息数、增:消息推送(FCM/APNs)</t>
  </si>
  <si>
    <t>快捷消息</t>
  </si>
  <si>
    <t>预设话术</t>
  </si>
  <si>
    <t>查:常用问题模板、增:一键发送</t>
  </si>
  <si>
    <t>联系方式</t>
  </si>
  <si>
    <t>拨打电话</t>
  </si>
  <si>
    <t>增:点击拨号、查:显示号码</t>
  </si>
  <si>
    <t>跳转WhatsApp</t>
  </si>
  <si>
    <t>增，跳转到FB/viber/wechat/WhatsApp/</t>
  </si>
  <si>
    <t>预约带看</t>
  </si>
  <si>
    <t>预约申请</t>
  </si>
  <si>
    <t>提交预约</t>
  </si>
  <si>
    <t>增:选择日期时间、增:填写联系信息、查:可预约时间段</t>
  </si>
  <si>
    <t>预约管理</t>
  </si>
  <si>
    <t>查看预约</t>
  </si>
  <si>
    <t>查:预约列表(待确认/已确认/已完成/已取消)</t>
  </si>
  <si>
    <t>取消预约</t>
  </si>
  <si>
    <t>删:取消预约、改:填写取消原因</t>
  </si>
  <si>
    <t>预约提醒</t>
  </si>
  <si>
    <t>查:预约提醒推送(前1天/前2小时)</t>
  </si>
  <si>
    <t>房东发布</t>
  </si>
  <si>
    <t>发布房源</t>
  </si>
  <si>
    <t>增:填写标题/价格/面积/户型、查:小区/地址联想</t>
  </si>
  <si>
    <t>详细信息</t>
  </si>
  <si>
    <t>增:楼层/朝向/装修/产权/配套、改:选择房源特色标签</t>
  </si>
  <si>
    <t>上传媒体</t>
  </si>
  <si>
    <t>增:批量上传照片/视频、删:删除照片、改:设置封面图</t>
  </si>
  <si>
    <t>增:填写联系人/电话、改:设置公开/隐藏</t>
  </si>
  <si>
    <t>发布管理</t>
  </si>
  <si>
    <t>我的房源</t>
  </si>
  <si>
    <t>查:已发布房源列表、改:编辑房源、删:下架房源</t>
  </si>
  <si>
    <t>房源状态</t>
  </si>
  <si>
    <t>查:审核中/已上线/已下架、改:刷新/置顶(付费)</t>
  </si>
  <si>
    <t>买房工具</t>
  </si>
  <si>
    <t>买房攻略</t>
  </si>
  <si>
    <t>文章列表</t>
  </si>
  <si>
    <t>查:攻略分类(新手/流程/政策/风险)、查:文章列表</t>
  </si>
  <si>
    <t>文章详情</t>
  </si>
  <si>
    <t>查:图文内容、增:收藏文章、增:分享</t>
  </si>
  <si>
    <t>税费计算器</t>
  </si>
  <si>
    <t>参数输入</t>
  </si>
  <si>
    <t>增:输入房价/面积/房屋类型/持有年限</t>
  </si>
  <si>
    <t>计算结果</t>
  </si>
  <si>
    <t>查:税费计算</t>
  </si>
  <si>
    <t>个人中心</t>
  </si>
  <si>
    <t>我的关注</t>
  </si>
  <si>
    <t>关注房源</t>
  </si>
  <si>
    <t>查:收藏的房源列表、删:取消收藏、改:批量管理</t>
  </si>
  <si>
    <t>关注小区</t>
  </si>
  <si>
    <t>查:关注的小区、增:订阅小区动态通知</t>
  </si>
  <si>
    <t>我的订单</t>
  </si>
  <si>
    <t>预约记录</t>
  </si>
  <si>
    <t>查:预约列表、查:预约详情</t>
  </si>
  <si>
    <t>交易记录</t>
  </si>
  <si>
    <t>查:交易订单(进行中/已完成)</t>
  </si>
  <si>
    <t>发布记录</t>
  </si>
  <si>
    <t>我的发布</t>
  </si>
  <si>
    <t>查:已发布房源、改:编辑/删除</t>
  </si>
  <si>
    <t>浏览记录</t>
  </si>
  <si>
    <t>历史浏览</t>
  </si>
  <si>
    <t>查:最近浏览房源、删:清空记录</t>
  </si>
  <si>
    <t>设置</t>
  </si>
  <si>
    <t>账号设置</t>
  </si>
  <si>
    <t>改:修改密码、改:绑定/解绑手机、改:注销账号</t>
  </si>
  <si>
    <t>语言切换</t>
  </si>
  <si>
    <t>改:缅文/中文/英文切换</t>
  </si>
  <si>
    <t>消息设置</t>
  </si>
  <si>
    <t>改:推送开关、改:勿扰时间</t>
  </si>
  <si>
    <t>B端经纪人系统功能明细清单</t>
  </si>
  <si>
    <t>极速录房</t>
  </si>
  <si>
    <t>基础信息录入</t>
  </si>
  <si>
    <t>快速拍照</t>
  </si>
  <si>
    <t>增:拍摄房屋照片、增:批量上传、改:裁剪/旋转</t>
  </si>
  <si>
    <t>视频录制</t>
  </si>
  <si>
    <t>增:录制房屋视频、改:视频压缩、增:上传</t>
  </si>
  <si>
    <t>语音录入</t>
  </si>
  <si>
    <t>增:语音转文字(缅文)、改:编辑文字、查:录音记录</t>
  </si>
  <si>
    <t>房源信息</t>
  </si>
  <si>
    <t>LBS定位</t>
  </si>
  <si>
    <t>查:自动获取GPS位置、改:手动调整地址、增:保存位置</t>
  </si>
  <si>
    <t>信息录入</t>
  </si>
  <si>
    <t>增:标题/价格/面积/户型、查:历史房源辅助填写</t>
  </si>
  <si>
    <t>配套选择</t>
  </si>
  <si>
    <t>增:多选配套设施、增:标签化特色、查:常用标签库</t>
  </si>
  <si>
    <t>OCR识别</t>
  </si>
  <si>
    <t>证件识别</t>
  </si>
  <si>
    <t>增:拍摄产权证、查:OCR提取信息(面积/产权人/年限)</t>
  </si>
  <si>
    <t>户型图识别</t>
  </si>
  <si>
    <t>增:上传户型图、查:识别房间布局</t>
  </si>
  <si>
    <t>实地验真</t>
  </si>
  <si>
    <t>GPS打卡</t>
  </si>
  <si>
    <t>位置验证</t>
  </si>
  <si>
    <t>查:获取当前GPS、查:计算与房源距离、增:50米内打卡</t>
  </si>
  <si>
    <t>打卡记录</t>
  </si>
  <si>
    <t>增:保存打卡时间/位置、查:打卡历史</t>
  </si>
  <si>
    <t>验证照片</t>
  </si>
  <si>
    <t>门牌号拍摄</t>
  </si>
  <si>
    <t>增:拍摄门牌号、增:经纪人同框照、改:添加时间/地点水印</t>
  </si>
  <si>
    <t>房屋特征</t>
  </si>
  <si>
    <t>增:拍摄房屋独特标识、增:环境照片、改:上传多角度</t>
  </si>
  <si>
    <t>验真状态</t>
  </si>
  <si>
    <t>状态同步</t>
  </si>
  <si>
    <t>改:提交验真资料、查:后台审核状态、改:验真通过/驳回</t>
  </si>
  <si>
    <t>验真标识</t>
  </si>
  <si>
    <t>查:房源验真标记、查:验真照片展示</t>
  </si>
  <si>
    <t>房源管理</t>
  </si>
  <si>
    <t>房源列表</t>
  </si>
  <si>
    <t>查:已录入房源列表、查:筛选(已验真/待验真/已上线)</t>
  </si>
  <si>
    <t>搜索房源</t>
  </si>
  <si>
    <t>查:按关键词/地址搜索、查:按状态筛选</t>
  </si>
  <si>
    <t>房源操作</t>
  </si>
  <si>
    <t>编辑房源</t>
  </si>
  <si>
    <t>查:房源详情、改:修改信息、增:补充照片</t>
  </si>
  <si>
    <t>状态管理</t>
  </si>
  <si>
    <t>改:上架/下架、改:刷新/置顶、删:删除房源</t>
  </si>
  <si>
    <t>复制房源</t>
  </si>
  <si>
    <t>增:一键复制创建相似房源</t>
  </si>
  <si>
    <t>审核状态</t>
  </si>
  <si>
    <t>查:待审核/审核通过/审核拒绝、查:拒绝原因</t>
  </si>
  <si>
    <t>统计信息</t>
  </si>
  <si>
    <t>查:浏览量/咨询量/预约量</t>
  </si>
  <si>
    <t>客户管理</t>
  </si>
  <si>
    <t>客户列表</t>
  </si>
  <si>
    <t>全部客户</t>
  </si>
  <si>
    <t>查:客户列表、查:搜索客户(姓名/手机)</t>
  </si>
  <si>
    <t>客户分类</t>
  </si>
  <si>
    <t>查:按标签筛选(意向/成交/流失)、改:自定义标签</t>
  </si>
  <si>
    <t>客户详情</t>
  </si>
  <si>
    <t>查:客户姓名/手机/来源、改:编辑备注</t>
  </si>
  <si>
    <t>沟通记录</t>
  </si>
  <si>
    <t>查:聊天记录、查:通话记录、增:添加跟进记录</t>
  </si>
  <si>
    <t>浏览行为</t>
  </si>
  <si>
    <t>查:浏览房源、查:收藏房源、查:搜索关键词</t>
  </si>
  <si>
    <t>客户画像</t>
  </si>
  <si>
    <t>需求标签</t>
  </si>
  <si>
    <t>增:标记需求(价格/面积/区域)、改:更新标签</t>
  </si>
  <si>
    <t>客户阶段</t>
  </si>
  <si>
    <t>改:意向度(高/中/低)、改:跟进状态</t>
  </si>
  <si>
    <t>IM咨询</t>
  </si>
  <si>
    <t>消息管理</t>
  </si>
  <si>
    <t>查:客户消息、增:回复消息、增:发送房源卡片</t>
  </si>
  <si>
    <t>消息提醒</t>
  </si>
  <si>
    <t>查:未读消息提醒、增:推送通知</t>
  </si>
  <si>
    <t>带看管理</t>
  </si>
  <si>
    <t>预约列表</t>
  </si>
  <si>
    <t>待处理预约</t>
  </si>
  <si>
    <t>查:客户预约列表、改:接单/拒单、改:改期</t>
  </si>
  <si>
    <t>已确认预约</t>
  </si>
  <si>
    <t>查:确认的预约、查:客户信息/房源信息</t>
  </si>
  <si>
    <t>带看执行</t>
  </si>
  <si>
    <t>导航功能</t>
  </si>
  <si>
    <t>增:一键导航到房源、查:路线规划</t>
  </si>
  <si>
    <t>带看签到</t>
  </si>
  <si>
    <t>增:到达打卡、增:离开打卡、查:带看时长</t>
  </si>
  <si>
    <t>客户反馈</t>
  </si>
  <si>
    <t>增:带看后填写反馈、增:客户满意度评分</t>
  </si>
  <si>
    <t>带看记录</t>
  </si>
  <si>
    <t>历史带看</t>
  </si>
  <si>
    <t>查:带看历史列表、查:带看详情</t>
  </si>
  <si>
    <t>带看统计</t>
  </si>
  <si>
    <t>查:本月带看次数/成交率</t>
  </si>
  <si>
    <t>ACN协作</t>
  </si>
  <si>
    <t>房源共享</t>
  </si>
  <si>
    <t>共享设置</t>
  </si>
  <si>
    <t>增:设置房源为共享、改:设置佣金分配比例</t>
  </si>
  <si>
    <t>查看共享房源</t>
  </si>
  <si>
    <t>查:其他经纪人共享房源、增:申请带看权限</t>
  </si>
  <si>
    <t>客源共享</t>
  </si>
  <si>
    <t>发布客源</t>
  </si>
  <si>
    <t>增:发布客户需求、增:设置合作条件</t>
  </si>
  <si>
    <t>查看客源</t>
  </si>
  <si>
    <t>查:其他人发布客源、增:申请合作</t>
  </si>
  <si>
    <t>协作记录</t>
  </si>
  <si>
    <t>合作房源</t>
  </si>
  <si>
    <t>查:正在合作的房源、查:合作经纪人</t>
  </si>
  <si>
    <t>佣金计算</t>
  </si>
  <si>
    <t>查:佣金分配规则、查:我的佣金明细</t>
  </si>
  <si>
    <t>协作流程</t>
  </si>
  <si>
    <t>申请审批</t>
  </si>
  <si>
    <t>增:发起合作申请、查:审批状态、改:同意/拒绝</t>
  </si>
  <si>
    <t>协作沟通</t>
  </si>
  <si>
    <t>增:协作内部聊天、增:共享客户信息</t>
  </si>
  <si>
    <t>地推管理</t>
  </si>
  <si>
    <t>考勤打卡</t>
  </si>
  <si>
    <t>上下班打卡</t>
  </si>
  <si>
    <t>增:GPS打卡、查:打卡记录、改:补卡申请</t>
  </si>
  <si>
    <t>区域打卡</t>
  </si>
  <si>
    <t>增:区域内打卡(证明工作覆盖)、查:打卡地图</t>
  </si>
  <si>
    <t>任务管理</t>
  </si>
  <si>
    <t>接收任务</t>
  </si>
  <si>
    <t>查:待办任务列表(录房/验真/回访)、改:完成任务</t>
  </si>
  <si>
    <t>任务详情</t>
  </si>
  <si>
    <t>查:任务要求、增:提交任务成果、改:任务反馈</t>
  </si>
  <si>
    <t>培训中心</t>
  </si>
  <si>
    <t>培训资料</t>
  </si>
  <si>
    <t>查:视频教程列表、查:图文手册、增:下载离线</t>
  </si>
  <si>
    <t>考试测验</t>
  </si>
  <si>
    <t>查:考试题目、增:提交答案、查:考试成绩</t>
  </si>
  <si>
    <t>业绩统计</t>
  </si>
  <si>
    <t>个人业绩</t>
  </si>
  <si>
    <t>业绩看板</t>
  </si>
  <si>
    <t>查:今日/本周/本月业绩概览</t>
  </si>
  <si>
    <t>录入统计</t>
  </si>
  <si>
    <t>查:录入房源数、查:验真通过率</t>
  </si>
  <si>
    <t>查:带看次数、查:带看转化率</t>
  </si>
  <si>
    <t>成交统计</t>
  </si>
  <si>
    <t>查:成交套数、查:成交金额、查:佣金收入</t>
  </si>
  <si>
    <t>团队排行</t>
  </si>
  <si>
    <t>区域排行</t>
  </si>
  <si>
    <t>查:区域业绩排名、查:团队排名</t>
  </si>
  <si>
    <t>个人排名</t>
  </si>
  <si>
    <t>查:我的排名、查:排名趋势</t>
  </si>
  <si>
    <t>管理后台系统功能明细清单</t>
  </si>
  <si>
    <t>Web开发(人天)</t>
  </si>
  <si>
    <t>用户管理</t>
  </si>
  <si>
    <t>用户列表</t>
  </si>
  <si>
    <t>查询筛选</t>
  </si>
  <si>
    <t>查:用户列表/搜索、改:用户信息、改:启用禁用、删:删除账号</t>
  </si>
  <si>
    <t>用户审核</t>
  </si>
  <si>
    <t>实名审核</t>
  </si>
  <si>
    <t>查:认证申请、改:审核通过/拒绝、增:审核备注</t>
  </si>
  <si>
    <t>经纪人管理</t>
  </si>
  <si>
    <t>经纪人审核</t>
  </si>
  <si>
    <t>查:注册申请、改:资质审核、查:业绩统计</t>
  </si>
  <si>
    <t>角色权限</t>
  </si>
  <si>
    <t>权限配置</t>
  </si>
  <si>
    <t>查:角色列表、增:创建角色、改:分配权限</t>
  </si>
  <si>
    <t>房源查询</t>
  </si>
  <si>
    <t>查:房源列表/高级搜索、改:编辑、删:删除</t>
  </si>
  <si>
    <t>房源审核</t>
  </si>
  <si>
    <t>审核操作</t>
  </si>
  <si>
    <t>查:待审核列表、改:审核通过/拒绝、增:批量操作</t>
  </si>
  <si>
    <t>验真管理</t>
  </si>
  <si>
    <t>验真审核</t>
  </si>
  <si>
    <t>查:验真记录/照片、改:审核验真、改:处理异常</t>
  </si>
  <si>
    <t>内容管理</t>
  </si>
  <si>
    <t>广告管理</t>
  </si>
  <si>
    <t>Banner管理</t>
  </si>
  <si>
    <t>查:Banner列表、增:新建、改:编辑、删:删除</t>
  </si>
  <si>
    <t>攻略管理</t>
  </si>
  <si>
    <t>文章编辑</t>
  </si>
  <si>
    <t>查:文章列表、增:新建、改:编辑富文本、改:发布</t>
  </si>
  <si>
    <t>数据BI</t>
  </si>
  <si>
    <t>首页大屏</t>
  </si>
  <si>
    <t>核心指标</t>
  </si>
  <si>
    <t>查:总房源/日活/成交量、查:实时数据、查:趋势图</t>
  </si>
  <si>
    <t>房源分析</t>
  </si>
  <si>
    <t>多维分析</t>
  </si>
  <si>
    <t>查:类型/区域/价格分布、查:验真统计、查:热力图</t>
  </si>
  <si>
    <t>用户分析</t>
  </si>
  <si>
    <t>行为分析</t>
  </si>
  <si>
    <t>查:用户概览、查:行为数据、查:转化漏斗</t>
  </si>
  <si>
    <t>地推分析</t>
  </si>
  <si>
    <t>查:区域业绩、查:人员排行、查:效率分析</t>
  </si>
  <si>
    <t>报表导出</t>
  </si>
  <si>
    <t>数据导出</t>
  </si>
  <si>
    <t>增:配置导出、查:导出Excel/PDF、增:定时报表</t>
  </si>
  <si>
    <t>财务管理</t>
  </si>
  <si>
    <t>佣金结算</t>
  </si>
  <si>
    <t>结算操作</t>
  </si>
  <si>
    <t>查:结算单、增:生成结算、改:审核、改:手动调整</t>
  </si>
  <si>
    <t>支付对账</t>
  </si>
  <si>
    <t>对账处理</t>
  </si>
  <si>
    <t>查:支付流水、增:上传对账、改:匹配、改:异常处理</t>
  </si>
  <si>
    <t>财务报表</t>
  </si>
  <si>
    <t>收支报表</t>
  </si>
  <si>
    <t>查:收入/支出报表、查:利润分析</t>
  </si>
  <si>
    <t>合规管理</t>
  </si>
  <si>
    <t>操作日志</t>
  </si>
  <si>
    <t>日志查询</t>
  </si>
  <si>
    <t>查:操作记录、查:数据变更、增:导出日志</t>
  </si>
  <si>
    <t>数据备份</t>
  </si>
  <si>
    <t>备份恢复</t>
  </si>
  <si>
    <t>查:备份记录、增:手动备份、增:数据恢复</t>
  </si>
  <si>
    <t>系统设置</t>
  </si>
  <si>
    <t>基础配置</t>
  </si>
  <si>
    <t>参数设置</t>
  </si>
  <si>
    <t>改:平台信息、改:语言配置、改:参数配置</t>
  </si>
  <si>
    <t>第三方配置</t>
  </si>
  <si>
    <t>API配置</t>
  </si>
  <si>
    <t>改:支付/地图/OSS配置、查:测试连接</t>
  </si>
  <si>
    <t>UI/UX设计交付物清单</t>
  </si>
  <si>
    <t>设计类别</t>
  </si>
  <si>
    <t>交付物名称</t>
  </si>
  <si>
    <t>交付内容说明</t>
  </si>
  <si>
    <t>品牌设计</t>
  </si>
  <si>
    <t>Logo设计</t>
  </si>
  <si>
    <t>Logo标准字、Logo组合、Logo应用规范、黑白版Logo、不同尺寸Logo文件</t>
  </si>
  <si>
    <t>图标库</t>
  </si>
  <si>
    <t>APP图标集（100+个）、Tab栏图标、功能图标、系统图标（PNG/SVG格式）</t>
  </si>
  <si>
    <t>启动页设计</t>
  </si>
  <si>
    <t>启动页设计（Android/iOS）、闪屏页设计、品牌展示页</t>
  </si>
  <si>
    <t>应用商店素材</t>
  </si>
  <si>
    <t>应用截图（5-8张）、宣传图、应用图标（各尺寸）</t>
  </si>
  <si>
    <t>C端APP设计</t>
  </si>
  <si>
    <t>首页设计</t>
  </si>
  <si>
    <t>首页布局、搜索框、Banner、快捷入口、推荐房源卡片</t>
  </si>
  <si>
    <t>搜索筛选页</t>
  </si>
  <si>
    <t>搜索结果列表、筛选面板、筛选标签、空状态页</t>
  </si>
  <si>
    <t>地图界面、房源标注、房源卡片、筛选悬浮框</t>
  </si>
  <si>
    <t>房源详情页</t>
  </si>
  <si>
    <t>详情页布局、图片轮播、信息展示、底部操作栏</t>
  </si>
  <si>
    <t>个人中心首页、设置页、编辑资料页、认证页面</t>
  </si>
  <si>
    <t>发布表单、照片上传、信息填写、预览页</t>
  </si>
  <si>
    <t>聊天页面</t>
  </si>
  <si>
    <t>聊天列表、聊天详情、消息气泡、表情键盘</t>
  </si>
  <si>
    <t>适配设计</t>
  </si>
  <si>
    <t>多分辨率适配（320px-414px）、深色模式（可选）</t>
  </si>
  <si>
    <t>B端APP设计</t>
  </si>
  <si>
    <t>录房页面</t>
  </si>
  <si>
    <t>快速录房表单、拍照界面、语音录入界面</t>
  </si>
  <si>
    <t>验真页面</t>
  </si>
  <si>
    <t>GPS打卡界面、验证照片拍摄、水印展示</t>
  </si>
  <si>
    <t>房源列表、房源编辑、状态管理</t>
  </si>
  <si>
    <t>客户列表、客户详情、跟进记录</t>
  </si>
  <si>
    <t>业绩页面</t>
  </si>
  <si>
    <t>业绩看板、统计图表、排行榜</t>
  </si>
  <si>
    <t>多分辨率适配、简化操作流程</t>
  </si>
  <si>
    <t>Web网站设计</t>
  </si>
  <si>
    <t>PC端首页、响应式布局、搜索模块</t>
  </si>
  <si>
    <t>列表页</t>
  </si>
  <si>
    <t>房源列表页、筛选侧边栏、分页组件</t>
  </si>
  <si>
    <t>详情页</t>
  </si>
  <si>
    <t>房源详情页、图片展示、信息模块</t>
  </si>
  <si>
    <t>移动端适配</t>
  </si>
  <si>
    <t>移动端响应式设计、触摸优化</t>
  </si>
  <si>
    <t>管理后台设计</t>
  </si>
  <si>
    <t>登录页</t>
  </si>
  <si>
    <t>登录页设计、找回密码页</t>
  </si>
  <si>
    <t>总览页</t>
  </si>
  <si>
    <t>数据大屏、核心指标卡片、图表组件</t>
  </si>
  <si>
    <t>通用列表模板、表格设计、操作按钮</t>
  </si>
  <si>
    <t>表单页</t>
  </si>
  <si>
    <t>通用表单模板、富文本编辑器、上传组件</t>
  </si>
  <si>
    <t>详情页模板、信息展示、操作历史</t>
  </si>
  <si>
    <t>设计规范</t>
  </si>
  <si>
    <t>UI规范文档</t>
  </si>
  <si>
    <t>颜色规范、字体规范、间距规范、组件规范、图标规范</t>
  </si>
  <si>
    <t>交互规范</t>
  </si>
  <si>
    <t>交互动画规范、页面跳转规范、手势操作规范</t>
  </si>
  <si>
    <t>标注切图</t>
  </si>
  <si>
    <t>全部页面标注、切图资源、适配说明</t>
  </si>
  <si>
    <t>测试与质量保证交付物清单</t>
  </si>
  <si>
    <t>测试类别</t>
  </si>
  <si>
    <t>功能测试</t>
  </si>
  <si>
    <t>C端功能测试用例</t>
  </si>
  <si>
    <t>Android APP测试用例（80+条）、iOS APP测试用例（80+条）、Web测试用例（60+条）</t>
  </si>
  <si>
    <t>B端功能测试用例</t>
  </si>
  <si>
    <t>Android APP测试用例（60+条）、iOS APP测试用例（60+条）</t>
  </si>
  <si>
    <t>后台功能测试用例</t>
  </si>
  <si>
    <t>管理后台测试用例（100+条）、权限测试用例</t>
  </si>
  <si>
    <t>功能测试报告</t>
  </si>
  <si>
    <t>测试执行报告、Bug统计报告、功能覆盖率报告</t>
  </si>
  <si>
    <t>兼容性测试</t>
  </si>
  <si>
    <t>移动端兼容性</t>
  </si>
  <si>
    <t>Android机型测试（20+款）、iOS版本测试（iOS 12-17）</t>
  </si>
  <si>
    <t>Web兼容性</t>
  </si>
  <si>
    <t>Chrome/Safari/Firefox/Edge浏览器测试、分辨率测试</t>
  </si>
  <si>
    <t>兼容性测试报告</t>
  </si>
  <si>
    <t>兼容性矩阵、问题汇总、修复建议</t>
  </si>
  <si>
    <t>性能测试</t>
  </si>
  <si>
    <t>接口性能测试</t>
  </si>
  <si>
    <t>API响应时间测试、并发测试（100/500/1000用户）、压力测试</t>
  </si>
  <si>
    <t>APP性能测试</t>
  </si>
  <si>
    <t>启动时间、页面加载时间、内存占用、电量消耗</t>
  </si>
  <si>
    <t>弱网测试</t>
  </si>
  <si>
    <t>2G/3G/4G网络测试、弱网模拟、断网重连测试</t>
  </si>
  <si>
    <t>性能测试报告</t>
  </si>
  <si>
    <t>性能指标报告、瓶颈分析、优化建议</t>
  </si>
  <si>
    <t>安全测试</t>
  </si>
  <si>
    <t>安全扫描</t>
  </si>
  <si>
    <t>SQL注入测试、XSS攻击测试、CSRF测试、敏感信息泄露测试</t>
  </si>
  <si>
    <t>权限测试</t>
  </si>
  <si>
    <t>越权测试、权限绕过测试、数据安全测试</t>
  </si>
  <si>
    <t>安全测试报告</t>
  </si>
  <si>
    <t>漏洞清单、风险等级、修复方案</t>
  </si>
  <si>
    <t>回归测试</t>
  </si>
  <si>
    <t>版本回归测试</t>
  </si>
  <si>
    <t>核心功能回归、Bug修复验证</t>
  </si>
  <si>
    <t>项目文档交付物清单</t>
  </si>
  <si>
    <t>文档类别</t>
  </si>
  <si>
    <t>文档内容说明</t>
  </si>
  <si>
    <t>需求文档</t>
  </si>
  <si>
    <t>产品需求文档（PRD）</t>
  </si>
  <si>
    <t>功能需求详细说明、业务流程图、页面流程图、用例说明（中文版）</t>
  </si>
  <si>
    <t>需求变更记录</t>
  </si>
  <si>
    <t>需求变更申请单、变更评审记录、变更影响分析</t>
  </si>
  <si>
    <t>设计文档</t>
  </si>
  <si>
    <t>交互设计文档</t>
  </si>
  <si>
    <t>交互流程说明、页面跳转逻辑、手势操作说明、动画效果说明</t>
  </si>
  <si>
    <t>UI设计规范</t>
  </si>
  <si>
    <t>UI设计规范文档、颜色/字体/间距规范、组件库、图标库</t>
  </si>
  <si>
    <t>技术文档</t>
  </si>
  <si>
    <t>系统架构文档</t>
  </si>
  <si>
    <t>整体架构设计、技术选型说明、模块划分、部署架构图</t>
  </si>
  <si>
    <t>数据库设计文档</t>
  </si>
  <si>
    <t>ER图、数据库表结构设计（50+张表）、字段说明、索引设计</t>
  </si>
  <si>
    <t>API接口文档</t>
  </si>
  <si>
    <t>RESTful API文档（150+接口）、请求/响应示例、错误码说明（中英文）</t>
  </si>
  <si>
    <t>第三方集成文档</t>
  </si>
  <si>
    <t>支付接口集成文档、地图API集成文档、消息推送集成文档</t>
  </si>
  <si>
    <t>部署文档</t>
  </si>
  <si>
    <t>部署手册</t>
  </si>
  <si>
    <t>服务器环境配置、软件安装步骤、Docker部署文档、K8s配置（可选）</t>
  </si>
  <si>
    <t>数据库部署文档</t>
  </si>
  <si>
    <t>MySQL安装配置、Redis配置、Elasticsearch配置、数据初始化脚本</t>
  </si>
  <si>
    <t>CDN配置文档</t>
  </si>
  <si>
    <t>阿里云CDN/AWS CloudFront配置、域名绑定、SSL证书配置</t>
  </si>
  <si>
    <t>运维文档</t>
  </si>
  <si>
    <t>运维手册</t>
  </si>
  <si>
    <t>日常运维操作手册、监控配置、日志查看、备份恢复流程</t>
  </si>
  <si>
    <t>故障处理手册</t>
  </si>
  <si>
    <t>常见故障及解决方案、应急响应流程、故障排查checklist</t>
  </si>
  <si>
    <t>用户手册</t>
  </si>
  <si>
    <t>C端用户手册</t>
  </si>
  <si>
    <t>APP使用指南（缅甸语/中文/英文三语）、常见问题FAQ</t>
  </si>
  <si>
    <t>B端经纪人手册</t>
  </si>
  <si>
    <t>经纪人APP使用手册（缅甸语/中文）、录房/验真操作指南</t>
  </si>
  <si>
    <t>管理员操作手册</t>
  </si>
  <si>
    <t>后台管理系统操作手册（中文）、功能操作视频（10+个）</t>
  </si>
  <si>
    <t>培训</t>
  </si>
  <si>
    <t>操作演示视频</t>
  </si>
  <si>
    <t>不少于三次培训讲解</t>
  </si>
  <si>
    <t>项目管理文档</t>
  </si>
  <si>
    <t>项目计划</t>
  </si>
  <si>
    <t>项目进度计划（甘特图）、里程碑计划、资源分配计划</t>
  </si>
  <si>
    <t>周报/月报</t>
  </si>
  <si>
    <t>开发周报（16份）、项目月报（4份）</t>
  </si>
  <si>
    <t>验收文档</t>
  </si>
  <si>
    <t>功能验收清单、性能验收报告、验收签字确认书</t>
  </si>
  <si>
    <t>服务端API接口明细清单</t>
  </si>
  <si>
    <t>API功能</t>
  </si>
  <si>
    <t>API说明（包含CRUD）</t>
  </si>
  <si>
    <t>用户服务</t>
  </si>
  <si>
    <t>用户注册登录</t>
  </si>
  <si>
    <t>注册、登录、OTP验证、社交登录、JWT生成、Token刷新</t>
  </si>
  <si>
    <t>用户信息管理</t>
  </si>
  <si>
    <t>查询用户信息、修改用户信息、上传头像、实名认证</t>
  </si>
  <si>
    <t>权限管理</t>
  </si>
  <si>
    <t>查询权限、角色权限验证、权限树</t>
  </si>
  <si>
    <t>房源服务</t>
  </si>
  <si>
    <t>房源CRUD</t>
  </si>
  <si>
    <t>创建房源、修改房源、删除房源、查询房源详情</t>
  </si>
  <si>
    <t>房源搜索</t>
  </si>
  <si>
    <t>关键词搜索、高级筛选、地图搜索、ES全文检索</t>
  </si>
  <si>
    <t>房源推荐</t>
  </si>
  <si>
    <t>推荐算法、热门房源、相似房源、个性化推荐</t>
  </si>
  <si>
    <t>房源状态管理</t>
  </si>
  <si>
    <t>上下架、审核状态、验真状态、统计信息</t>
  </si>
  <si>
    <t>地图服务</t>
  </si>
  <si>
    <t>地图查询</t>
  </si>
  <si>
    <t>地理编码、逆地理编码、POI搜索、周边配套</t>
  </si>
  <si>
    <t>热区渲染</t>
  </si>
  <si>
    <t>价格热区数据、房源聚合、地图标注</t>
  </si>
  <si>
    <t>交易服务</t>
  </si>
  <si>
    <t>创建预约、查询预约、取消预约、预约提醒</t>
  </si>
  <si>
    <t>订单管理</t>
  </si>
  <si>
    <t>创建订单、查询订单、订单状态流转、订单统计</t>
  </si>
  <si>
    <t>支付服务</t>
  </si>
  <si>
    <t>创建支付、支付回调、退款、支付记录查询</t>
  </si>
  <si>
    <t>消息服务</t>
  </si>
  <si>
    <t>IM即时通讯</t>
  </si>
  <si>
    <t>发送消息、接收消息、消息历史、未读数</t>
  </si>
  <si>
    <t>消息推送</t>
  </si>
  <si>
    <t>FCM推送、APNs推送、短信发送、消息模板</t>
  </si>
  <si>
    <t>系统通知、预约通知、审核通知、消息列表</t>
  </si>
  <si>
    <t>地推服务</t>
  </si>
  <si>
    <t>打卡记录、位置验证、打卡历史</t>
  </si>
  <si>
    <t>提交验真、验真审核、验真照片、验真记录</t>
  </si>
  <si>
    <t>任务发布、任务接收、任务完成、任务统计</t>
  </si>
  <si>
    <t>个人业绩、团队业绩、排行榜、佣金计算</t>
  </si>
  <si>
    <t>发布共享、查询共享房源、申请合作、合作审批</t>
  </si>
  <si>
    <t>佣金分配</t>
  </si>
  <si>
    <t>佣金规则配置、佣金计算、佣金记录</t>
  </si>
  <si>
    <t>内容服务</t>
  </si>
  <si>
    <t>创建文章、修改文章、查询文章、文章分类</t>
  </si>
  <si>
    <t>Banner CRUD、广告位管理、点击统计</t>
  </si>
  <si>
    <t>统计服务</t>
  </si>
  <si>
    <t>数据大屏</t>
  </si>
  <si>
    <t>核心指标、实时数据、趋势分析</t>
  </si>
  <si>
    <t>报表服务</t>
  </si>
  <si>
    <t>房源报表、用户报表、业绩报表、导出Excel</t>
  </si>
  <si>
    <t>文件服务</t>
  </si>
  <si>
    <t>文件上传</t>
  </si>
  <si>
    <t>图片上传、视频上传、文件压缩、OSS存储</t>
  </si>
  <si>
    <t>文件管理</t>
  </si>
  <si>
    <t>文件列表、文件删除、CDN加速</t>
  </si>
  <si>
    <t>系统服务</t>
  </si>
  <si>
    <t>字典管理</t>
  </si>
  <si>
    <t>数据字典、配置参数、枚举值</t>
  </si>
  <si>
    <t>日志服务</t>
  </si>
  <si>
    <t>操作日志、错误日志、访问日志</t>
  </si>
  <si>
    <t>运维与技术支持服务方案</t>
  </si>
  <si>
    <t>一、免费技术支持服务（项目款包含，上线后12个月）</t>
  </si>
  <si>
    <t>服务项目</t>
  </si>
  <si>
    <t>服务内容</t>
  </si>
  <si>
    <t>费用</t>
  </si>
  <si>
    <t>响应时间</t>
  </si>
  <si>
    <t>工作日7×12小时响应（09:00-21:00），2小时内首次响应</t>
  </si>
  <si>
    <t>包含</t>
  </si>
  <si>
    <t>Bug修复</t>
  </si>
  <si>
    <t>免费修复开发阶段遗留的功能性Bug、性能问题、安全漏洞</t>
  </si>
  <si>
    <t>远程协助</t>
  </si>
  <si>
    <t>远程技术支持、问题排查、日志分析</t>
  </si>
  <si>
    <t>小版本更新</t>
  </si>
  <si>
    <t>提供1-2次版本更新（Bug修复版本）</t>
  </si>
  <si>
    <t>系统监控</t>
  </si>
  <si>
    <t>协助配置监控告警、提供监控建议</t>
  </si>
  <si>
    <t>技术咨询</t>
  </si>
  <si>
    <t>功能使用咨询、最佳实践建议</t>
  </si>
  <si>
    <t>二、付费运维服务（12个月免费期后，可选）</t>
  </si>
  <si>
    <t>服务套餐</t>
  </si>
  <si>
    <t>基础运维套餐</t>
  </si>
  <si>
    <t>7×12小时技术支持、Bug修复、远程协助、月度报告</t>
  </si>
  <si>
    <t>¥5,000/月</t>
  </si>
  <si>
    <t>标准运维套餐</t>
  </si>
  <si>
    <t>7×16小时技术支持、Bug修复、性能优化建议、季度巡检、月度报告</t>
  </si>
  <si>
    <t>¥8,000/月</t>
  </si>
  <si>
    <t>高级运维套餐</t>
  </si>
  <si>
    <t>7×24小时技术支持、Bug修复、性能优化、安全加固、驻场支持(1天/月)、月度报告</t>
  </si>
  <si>
    <t>¥15,000/月</t>
  </si>
  <si>
    <t>紧急响应服务</t>
  </si>
  <si>
    <t>非工作时间紧急Bug修复、系统故障紧急处理</t>
  </si>
  <si>
    <t>¥3,000/次</t>
  </si>
  <si>
    <t>功能迭代开发</t>
  </si>
  <si>
    <t>P1功能开发、新需求开发、功能优化</t>
  </si>
  <si>
    <t>¥800-1,000/人天</t>
  </si>
  <si>
    <t>性能优化服务</t>
  </si>
  <si>
    <t>数据库优化、接口优化、缓存优化、CDN优化</t>
  </si>
  <si>
    <t>¥20,000起/次</t>
  </si>
  <si>
    <t>安全加固服务</t>
  </si>
  <si>
    <t>安全审计、漏洞修复、渗透测试、安全培训</t>
  </si>
  <si>
    <t>¥15,000起/次</t>
  </si>
  <si>
    <t>数据迁移服务</t>
  </si>
  <si>
    <t>数据备份、数据迁移、数据清洗</t>
  </si>
  <si>
    <t>¥10,000起/次</t>
  </si>
  <si>
    <t>项目实施计划与里程碑</t>
  </si>
  <si>
    <t>阶段</t>
  </si>
  <si>
    <t>里程碑</t>
  </si>
  <si>
    <t>主要工作内容</t>
  </si>
  <si>
    <t>周</t>
  </si>
  <si>
    <t>交付物</t>
  </si>
  <si>
    <t>第1周</t>
  </si>
  <si>
    <t>项目启动</t>
  </si>
  <si>
    <t>项目启动会、需求确认、团队组建、环境准备</t>
  </si>
  <si>
    <t>项目计划、需求确认单</t>
  </si>
  <si>
    <t>第2周</t>
  </si>
  <si>
    <t>需求设计</t>
  </si>
  <si>
    <t>需求细化、原型设计、UI设计、技术方案评审</t>
  </si>
  <si>
    <t>PRD、高保真原型、UI设计稿</t>
  </si>
  <si>
    <t>第3-4周</t>
  </si>
  <si>
    <t>基础开发</t>
  </si>
  <si>
    <t>数据库设计、API框架搭建、基础组件开发</t>
  </si>
  <si>
    <t>数据库设计文档、基础代码</t>
  </si>
  <si>
    <t>第5-6周</t>
  </si>
  <si>
    <t>C端开发-1</t>
  </si>
  <si>
    <t>用户注册登录、首页、搜索筛选功能开发</t>
  </si>
  <si>
    <t>C端基础功能</t>
  </si>
  <si>
    <t>第7-8周</t>
  </si>
  <si>
    <t>C端开发-2</t>
  </si>
  <si>
    <t>地图找房、房源详情、在线咨询功能开发</t>
  </si>
  <si>
    <t>C端核心功能</t>
  </si>
  <si>
    <t>第9周</t>
  </si>
  <si>
    <t>C端开发-3</t>
  </si>
  <si>
    <t>预约带看、房东发布、个人中心功能开发</t>
  </si>
  <si>
    <t>C端完整功能</t>
  </si>
  <si>
    <t>B端开发-1</t>
  </si>
  <si>
    <t>极速录房、实地验真功能开发</t>
  </si>
  <si>
    <t>B端录房验真功能</t>
  </si>
  <si>
    <t>B端开发-2</t>
  </si>
  <si>
    <t>房源管理、客户管理、带看管理功能开发</t>
  </si>
  <si>
    <t>B端管理功能</t>
  </si>
  <si>
    <t>B端开发-3</t>
  </si>
  <si>
    <t>ACN协作、地推管理、业绩统计功能开发</t>
  </si>
  <si>
    <t>B端完整功能</t>
  </si>
  <si>
    <t>第5-7周</t>
  </si>
  <si>
    <t>后台开发-1</t>
  </si>
  <si>
    <t>用户管理、房源管理功能开发</t>
  </si>
  <si>
    <t>后台基础功能</t>
  </si>
  <si>
    <t>第8-9周</t>
  </si>
  <si>
    <t>后台开发-2</t>
  </si>
  <si>
    <t>数据BI、财务管理、合规管理功能开发</t>
  </si>
  <si>
    <t>后台完整功能</t>
  </si>
  <si>
    <t>第10周</t>
  </si>
  <si>
    <t>系统联调</t>
  </si>
  <si>
    <t>前后端联调、接口调试、数据联调</t>
  </si>
  <si>
    <t>联调通过</t>
  </si>
  <si>
    <t>第11周</t>
  </si>
  <si>
    <t>功能测试、兼容性测试</t>
  </si>
  <si>
    <t>测试报告</t>
  </si>
  <si>
    <t>第12周</t>
  </si>
  <si>
    <t>性能优化</t>
  </si>
  <si>
    <t>性能测试、性能优化、弱网优化</t>
  </si>
  <si>
    <t>第13周</t>
  </si>
  <si>
    <t>安全测试、漏洞修复、回归测试</t>
  </si>
  <si>
    <t>第14周</t>
  </si>
  <si>
    <t>试运行</t>
  </si>
  <si>
    <t>内部试运行、Bug修复、优化调整</t>
  </si>
  <si>
    <t>Bug修复报告</t>
  </si>
  <si>
    <t>第15周</t>
  </si>
  <si>
    <t>上线部署</t>
  </si>
  <si>
    <t>服务器部署、数据迁移、上线检查</t>
  </si>
  <si>
    <t>上线checklist</t>
  </si>
  <si>
    <t>第16周</t>
  </si>
  <si>
    <t>培训验收</t>
  </si>
  <si>
    <t>用户培训、验收测试、项目交接</t>
  </si>
  <si>
    <t>验收报告、培训记录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</si>
</sst>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1"/>
      <color rgb="FFFFFFFF"/>
      <name val="微软雅黑"/>
      <charset val="134"/>
    </font>
    <font>
      <sz val="9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trike/>
      <sz val="9"/>
      <name val="微软雅黑"/>
      <charset val="134"/>
    </font>
    <font>
      <strike/>
      <sz val="11"/>
      <color theme="1"/>
      <name val="宋体"/>
      <charset val="134"/>
      <scheme val="minor"/>
    </font>
    <font>
      <b/>
      <sz val="9"/>
      <name val="微软雅黑"/>
      <charset val="134"/>
    </font>
    <font>
      <sz val="11"/>
      <name val="微软雅黑"/>
      <charset val="134"/>
    </font>
    <font>
      <sz val="10"/>
      <color theme="1" tint="0.15"/>
      <name val="微软雅黑"/>
      <charset val="134"/>
    </font>
    <font>
      <sz val="11"/>
      <color theme="1" tint="0.15"/>
      <name val="宋体"/>
      <charset val="134"/>
      <scheme val="minor"/>
    </font>
    <font>
      <b/>
      <sz val="12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10" borderId="11" applyNumberFormat="0" applyAlignment="0" applyProtection="0">
      <alignment vertical="center"/>
    </xf>
    <xf numFmtId="0" fontId="26" fillId="11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0" borderId="5" xfId="0" applyBorder="1"/>
    <xf numFmtId="0" fontId="8" fillId="0" borderId="1" xfId="0" applyFont="1" applyBorder="1" applyAlignment="1">
      <alignment horizontal="left" vertical="center" wrapText="1"/>
    </xf>
    <xf numFmtId="0" fontId="0" fillId="0" borderId="6" xfId="0" applyBorder="1"/>
    <xf numFmtId="0" fontId="8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7" borderId="5" xfId="0" applyFill="1" applyBorder="1"/>
    <xf numFmtId="0" fontId="3" fillId="7" borderId="1" xfId="0" applyFont="1" applyFill="1" applyBorder="1" applyAlignment="1">
      <alignment horizontal="center" vertical="center" wrapText="1"/>
    </xf>
    <xf numFmtId="0" fontId="0" fillId="7" borderId="0" xfId="0" applyFill="1"/>
    <xf numFmtId="0" fontId="11" fillId="7" borderId="7" xfId="0" applyFont="1" applyFill="1" applyBorder="1" applyAlignment="1">
      <alignment horizontal="left" vertical="center" wrapText="1"/>
    </xf>
    <xf numFmtId="0" fontId="0" fillId="3" borderId="1" xfId="0" applyFill="1" applyBorder="1"/>
    <xf numFmtId="0" fontId="4" fillId="0" borderId="1" xfId="0" applyFont="1" applyBorder="1" applyAlignment="1">
      <alignment horizontal="left" vertical="center" wrapText="1"/>
    </xf>
    <xf numFmtId="31" fontId="5" fillId="0" borderId="1" xfId="0" applyNumberFormat="1" applyFont="1" applyBorder="1" applyAlignment="1">
      <alignment horizontal="left" vertical="center" wrapText="1"/>
    </xf>
    <xf numFmtId="6" fontId="5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5" xfId="0" applyFont="1" applyBorder="1"/>
    <xf numFmtId="0" fontId="13" fillId="0" borderId="6" xfId="0" applyFont="1" applyBorder="1"/>
    <xf numFmtId="0" fontId="14" fillId="3" borderId="0" xfId="0" applyFont="1" applyFill="1" applyAlignment="1">
      <alignment horizontal="center" vertical="center" wrapText="1"/>
    </xf>
    <xf numFmtId="43" fontId="5" fillId="0" borderId="1" xfId="0" applyNumberFormat="1" applyFont="1" applyBorder="1" applyAlignment="1">
      <alignment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43" fontId="2" fillId="3" borderId="1" xfId="0" applyNumberFormat="1" applyFont="1" applyFill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zoomScale="96" zoomScaleNormal="96" topLeftCell="A18" workbookViewId="0">
      <selection activeCell="E21" sqref="E21"/>
    </sheetView>
  </sheetViews>
  <sheetFormatPr defaultColWidth="9" defaultRowHeight="16.8" outlineLevelCol="3"/>
  <cols>
    <col min="1" max="1" width="28.2115384615385" customWidth="1"/>
    <col min="2" max="2" width="50" customWidth="1"/>
    <col min="3" max="3" width="20" customWidth="1"/>
    <col min="4" max="4" width="35" customWidth="1"/>
  </cols>
  <sheetData>
    <row r="1" ht="35" customHeight="1" spans="1:1">
      <c r="A1" s="1" t="s">
        <v>0</v>
      </c>
    </row>
    <row r="2" ht="17" spans="1:4">
      <c r="A2" s="2" t="s">
        <v>1</v>
      </c>
      <c r="B2" s="32"/>
      <c r="C2" s="16"/>
      <c r="D2" s="18"/>
    </row>
    <row r="3" spans="1:4">
      <c r="A3" s="33" t="s">
        <v>2</v>
      </c>
      <c r="B3" s="8" t="s">
        <v>3</v>
      </c>
      <c r="C3" s="16"/>
      <c r="D3" s="18"/>
    </row>
    <row r="4" spans="1:4">
      <c r="A4" s="33" t="s">
        <v>4</v>
      </c>
      <c r="B4" s="34" t="s">
        <v>5</v>
      </c>
      <c r="C4" s="16"/>
      <c r="D4" s="18"/>
    </row>
    <row r="5" spans="1:4">
      <c r="A5" s="33" t="s">
        <v>6</v>
      </c>
      <c r="B5" s="8" t="s">
        <v>7</v>
      </c>
      <c r="C5" s="16"/>
      <c r="D5" s="18"/>
    </row>
    <row r="6" spans="1:4">
      <c r="A6" s="33" t="s">
        <v>8</v>
      </c>
      <c r="B6" s="35">
        <f>D30</f>
        <v>434700</v>
      </c>
      <c r="C6" s="16"/>
      <c r="D6" s="18"/>
    </row>
    <row r="7" spans="1:4">
      <c r="A7" s="33" t="s">
        <v>9</v>
      </c>
      <c r="B7" s="8" t="s">
        <v>10</v>
      </c>
      <c r="C7" s="16"/>
      <c r="D7" s="18"/>
    </row>
    <row r="8" spans="1:4">
      <c r="A8" s="33" t="s">
        <v>11</v>
      </c>
      <c r="B8" s="8" t="s">
        <v>12</v>
      </c>
      <c r="C8" s="16"/>
      <c r="D8" s="18"/>
    </row>
    <row r="9" ht="17" spans="1:4">
      <c r="A9" s="2" t="s">
        <v>13</v>
      </c>
      <c r="B9" s="32"/>
      <c r="C9" s="16"/>
      <c r="D9" s="18"/>
    </row>
    <row r="10" spans="1:4">
      <c r="A10" s="33" t="s">
        <v>14</v>
      </c>
      <c r="B10" s="36" t="s">
        <v>15</v>
      </c>
      <c r="C10" s="37"/>
      <c r="D10" s="38"/>
    </row>
    <row r="11" spans="1:4">
      <c r="A11" s="33" t="s">
        <v>16</v>
      </c>
      <c r="B11" s="8" t="s">
        <v>17</v>
      </c>
      <c r="C11" s="16"/>
      <c r="D11" s="18"/>
    </row>
    <row r="12" spans="1:4">
      <c r="A12" s="33" t="s">
        <v>18</v>
      </c>
      <c r="B12" s="8" t="s">
        <v>19</v>
      </c>
      <c r="C12" s="16"/>
      <c r="D12" s="18"/>
    </row>
    <row r="13" spans="1:4">
      <c r="A13" s="33" t="s">
        <v>20</v>
      </c>
      <c r="B13" s="8" t="s">
        <v>21</v>
      </c>
      <c r="C13" s="16"/>
      <c r="D13" s="18"/>
    </row>
    <row r="14" ht="17" spans="1:4">
      <c r="A14" s="2" t="s">
        <v>22</v>
      </c>
      <c r="B14" s="32"/>
      <c r="C14" s="16"/>
      <c r="D14" s="18"/>
    </row>
    <row r="15" spans="1:4">
      <c r="A15" s="33" t="s">
        <v>23</v>
      </c>
      <c r="B15" s="8" t="s">
        <v>24</v>
      </c>
      <c r="C15" s="16"/>
      <c r="D15" s="18"/>
    </row>
    <row r="16" spans="1:4">
      <c r="A16" s="33" t="s">
        <v>25</v>
      </c>
      <c r="B16" s="8" t="s">
        <v>26</v>
      </c>
      <c r="C16" s="16"/>
      <c r="D16" s="18"/>
    </row>
    <row r="17" spans="1:4">
      <c r="A17" s="33" t="s">
        <v>27</v>
      </c>
      <c r="B17" s="8" t="s">
        <v>28</v>
      </c>
      <c r="C17" s="16"/>
      <c r="D17" s="18"/>
    </row>
    <row r="18" spans="1:4">
      <c r="A18" s="33" t="s">
        <v>29</v>
      </c>
      <c r="B18" s="36" t="s">
        <v>30</v>
      </c>
      <c r="C18" s="37"/>
      <c r="D18" s="38"/>
    </row>
    <row r="19" ht="25" customHeight="1" spans="1:1">
      <c r="A19" s="39" t="s">
        <v>31</v>
      </c>
    </row>
    <row r="20" ht="17" spans="1:4">
      <c r="A20" s="2" t="s">
        <v>32</v>
      </c>
      <c r="B20" s="2" t="s">
        <v>33</v>
      </c>
      <c r="C20" s="2" t="s">
        <v>34</v>
      </c>
      <c r="D20" s="2" t="s">
        <v>35</v>
      </c>
    </row>
    <row r="21" ht="31" spans="1:4">
      <c r="A21" s="8" t="s">
        <v>36</v>
      </c>
      <c r="B21" s="9">
        <v>198.5</v>
      </c>
      <c r="C21" s="40">
        <v>850</v>
      </c>
      <c r="D21" s="40">
        <f t="shared" ref="D21:D29" si="0">B21*C21</f>
        <v>168725</v>
      </c>
    </row>
    <row r="22" ht="31" spans="1:4">
      <c r="A22" s="8" t="s">
        <v>37</v>
      </c>
      <c r="B22" s="9">
        <v>162.5</v>
      </c>
      <c r="C22" s="40">
        <v>850</v>
      </c>
      <c r="D22" s="40">
        <f t="shared" si="0"/>
        <v>138125</v>
      </c>
    </row>
    <row r="23" spans="1:4">
      <c r="A23" s="8" t="s">
        <v>38</v>
      </c>
      <c r="B23" s="9">
        <v>81</v>
      </c>
      <c r="C23" s="40">
        <v>850</v>
      </c>
      <c r="D23" s="40">
        <f t="shared" si="0"/>
        <v>68850</v>
      </c>
    </row>
    <row r="24" spans="1:4">
      <c r="A24" s="8" t="s">
        <v>39</v>
      </c>
      <c r="B24" s="9">
        <v>30</v>
      </c>
      <c r="C24" s="40">
        <v>1000</v>
      </c>
      <c r="D24" s="40">
        <f t="shared" si="0"/>
        <v>30000</v>
      </c>
    </row>
    <row r="25" spans="1:4">
      <c r="A25" s="8" t="s">
        <v>40</v>
      </c>
      <c r="B25" s="9">
        <v>10</v>
      </c>
      <c r="C25" s="40">
        <v>500</v>
      </c>
      <c r="D25" s="40">
        <f t="shared" si="0"/>
        <v>5000</v>
      </c>
    </row>
    <row r="26" ht="31" spans="1:4">
      <c r="A26" s="8" t="s">
        <v>41</v>
      </c>
      <c r="B26" s="9">
        <v>40</v>
      </c>
      <c r="C26" s="40">
        <v>600</v>
      </c>
      <c r="D26" s="40">
        <f t="shared" si="0"/>
        <v>24000</v>
      </c>
    </row>
    <row r="27" spans="1:4">
      <c r="A27" s="8" t="s">
        <v>42</v>
      </c>
      <c r="B27" s="9">
        <v>10</v>
      </c>
      <c r="C27" s="40">
        <v>0</v>
      </c>
      <c r="D27" s="40">
        <f t="shared" si="0"/>
        <v>0</v>
      </c>
    </row>
    <row r="28" spans="1:4">
      <c r="A28" s="8" t="s">
        <v>43</v>
      </c>
      <c r="B28" s="9">
        <v>10</v>
      </c>
      <c r="C28" s="40">
        <v>0</v>
      </c>
      <c r="D28" s="40">
        <f t="shared" si="0"/>
        <v>0</v>
      </c>
    </row>
    <row r="29" spans="1:4">
      <c r="A29" s="41" t="s">
        <v>44</v>
      </c>
      <c r="B29" s="42">
        <v>360</v>
      </c>
      <c r="C29" s="40">
        <v>0</v>
      </c>
      <c r="D29" s="40">
        <f t="shared" si="0"/>
        <v>0</v>
      </c>
    </row>
    <row r="30" ht="17" spans="1:4">
      <c r="A30" s="2" t="s">
        <v>45</v>
      </c>
      <c r="B30" s="2">
        <f>SUM(B21:B28)</f>
        <v>542</v>
      </c>
      <c r="C30" s="43" t="s">
        <v>46</v>
      </c>
      <c r="D30" s="44">
        <f>SUM(D21:D29)</f>
        <v>434700</v>
      </c>
    </row>
    <row r="32" spans="1:1">
      <c r="A32" s="10" t="s">
        <v>47</v>
      </c>
    </row>
    <row r="33" spans="1:1">
      <c r="A33" s="45" t="s">
        <v>48</v>
      </c>
    </row>
    <row r="34" spans="1:1">
      <c r="A34" s="45" t="s">
        <v>49</v>
      </c>
    </row>
    <row r="35" spans="1:1">
      <c r="A35" s="10" t="s">
        <v>50</v>
      </c>
    </row>
    <row r="36" spans="1:2">
      <c r="A36" s="46" t="s">
        <v>51</v>
      </c>
      <c r="B36" s="46"/>
    </row>
    <row r="37" spans="1:2">
      <c r="A37" s="46" t="s">
        <v>52</v>
      </c>
      <c r="B37" s="46"/>
    </row>
  </sheetData>
  <mergeCells count="23">
    <mergeCell ref="A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32:D32"/>
    <mergeCell ref="A33:D33"/>
    <mergeCell ref="A34:D34"/>
    <mergeCell ref="A35:D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zoomScale="95" zoomScaleNormal="95" workbookViewId="0">
      <selection activeCell="H38" sqref="H38"/>
    </sheetView>
  </sheetViews>
  <sheetFormatPr defaultColWidth="9" defaultRowHeight="16.8" outlineLevelCol="6"/>
  <cols>
    <col min="1" max="1" width="12" customWidth="1"/>
    <col min="2" max="2" width="20" customWidth="1"/>
    <col min="3" max="3" width="25" customWidth="1"/>
    <col min="4" max="4" width="40" customWidth="1"/>
    <col min="5" max="6" width="12" customWidth="1"/>
    <col min="7" max="7" width="31.2019230769231" customWidth="1"/>
  </cols>
  <sheetData>
    <row r="1" ht="30" customHeight="1" spans="1:1">
      <c r="A1" s="1" t="s">
        <v>53</v>
      </c>
    </row>
    <row r="2" ht="30" customHeight="1" spans="1:6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</row>
    <row r="3" ht="20" customHeight="1" spans="1:6">
      <c r="A3" s="15" t="s">
        <v>60</v>
      </c>
      <c r="B3" s="16"/>
      <c r="C3" s="16"/>
      <c r="D3" s="16"/>
      <c r="E3" s="16"/>
      <c r="F3" s="16"/>
    </row>
    <row r="4" ht="28" spans="1:7">
      <c r="A4" s="21" t="s">
        <v>61</v>
      </c>
      <c r="B4" s="22" t="s">
        <v>62</v>
      </c>
      <c r="C4" s="23" t="s">
        <v>63</v>
      </c>
      <c r="D4" s="23" t="s">
        <v>64</v>
      </c>
      <c r="E4" s="29">
        <v>3</v>
      </c>
      <c r="F4" s="29">
        <v>1</v>
      </c>
      <c r="G4" s="30"/>
    </row>
    <row r="5" ht="28" spans="1:7">
      <c r="A5" s="24"/>
      <c r="B5" s="25"/>
      <c r="C5" s="23" t="s">
        <v>65</v>
      </c>
      <c r="D5" s="23" t="s">
        <v>66</v>
      </c>
      <c r="E5" s="29">
        <v>3</v>
      </c>
      <c r="F5" s="29">
        <v>1</v>
      </c>
      <c r="G5" s="30"/>
    </row>
    <row r="6" ht="28" spans="1:7">
      <c r="A6" s="24"/>
      <c r="B6" s="22" t="s">
        <v>67</v>
      </c>
      <c r="C6" s="23" t="s">
        <v>68</v>
      </c>
      <c r="D6" s="23" t="s">
        <v>69</v>
      </c>
      <c r="E6" s="29">
        <v>2</v>
      </c>
      <c r="F6" s="29">
        <v>0.5</v>
      </c>
      <c r="G6" s="30"/>
    </row>
    <row r="7" spans="1:7">
      <c r="A7" s="24"/>
      <c r="B7" s="25"/>
      <c r="C7" s="23" t="s">
        <v>70</v>
      </c>
      <c r="D7" s="23" t="s">
        <v>71</v>
      </c>
      <c r="E7" s="29">
        <v>3</v>
      </c>
      <c r="F7" s="29">
        <v>1</v>
      </c>
      <c r="G7" s="30"/>
    </row>
    <row r="8" ht="28" spans="1:7">
      <c r="A8" s="24"/>
      <c r="B8" s="22" t="s">
        <v>72</v>
      </c>
      <c r="C8" s="23" t="s">
        <v>73</v>
      </c>
      <c r="D8" s="23" t="s">
        <v>74</v>
      </c>
      <c r="E8" s="29">
        <v>2</v>
      </c>
      <c r="F8" s="29">
        <v>1</v>
      </c>
      <c r="G8" s="30"/>
    </row>
    <row r="9" ht="55" spans="1:7">
      <c r="A9" s="26"/>
      <c r="B9" s="25"/>
      <c r="C9" s="23" t="s">
        <v>75</v>
      </c>
      <c r="D9" s="23" t="s">
        <v>76</v>
      </c>
      <c r="E9" s="29">
        <v>10</v>
      </c>
      <c r="F9" s="29">
        <v>3</v>
      </c>
      <c r="G9" s="30"/>
    </row>
    <row r="10" ht="20" customHeight="1" spans="1:7">
      <c r="A10" s="27" t="s">
        <v>77</v>
      </c>
      <c r="B10" s="28"/>
      <c r="C10" s="28"/>
      <c r="D10" s="28"/>
      <c r="E10" s="28"/>
      <c r="F10" s="28"/>
      <c r="G10" s="30"/>
    </row>
    <row r="11" ht="28" spans="1:7">
      <c r="A11" s="23" t="s">
        <v>78</v>
      </c>
      <c r="B11" s="23" t="s">
        <v>79</v>
      </c>
      <c r="C11" s="23" t="s">
        <v>80</v>
      </c>
      <c r="D11" s="23" t="s">
        <v>81</v>
      </c>
      <c r="E11" s="29">
        <v>3</v>
      </c>
      <c r="F11" s="29">
        <v>1</v>
      </c>
      <c r="G11" s="30"/>
    </row>
    <row r="12" spans="1:7">
      <c r="A12" s="23" t="s">
        <v>78</v>
      </c>
      <c r="B12" s="23" t="s">
        <v>78</v>
      </c>
      <c r="C12" s="23" t="s">
        <v>82</v>
      </c>
      <c r="D12" s="23" t="s">
        <v>83</v>
      </c>
      <c r="E12" s="29">
        <v>2</v>
      </c>
      <c r="F12" s="29">
        <v>0.5</v>
      </c>
      <c r="G12" s="30"/>
    </row>
    <row r="13" spans="1:7">
      <c r="A13" s="23" t="s">
        <v>78</v>
      </c>
      <c r="B13" s="23" t="s">
        <v>84</v>
      </c>
      <c r="C13" s="23" t="s">
        <v>85</v>
      </c>
      <c r="D13" s="23" t="s">
        <v>86</v>
      </c>
      <c r="E13" s="29">
        <v>3</v>
      </c>
      <c r="F13" s="29">
        <v>1</v>
      </c>
      <c r="G13" s="30"/>
    </row>
    <row r="14" spans="1:7">
      <c r="A14" s="23" t="s">
        <v>78</v>
      </c>
      <c r="B14" s="23" t="s">
        <v>87</v>
      </c>
      <c r="C14" s="23" t="s">
        <v>88</v>
      </c>
      <c r="D14" s="23" t="s">
        <v>89</v>
      </c>
      <c r="E14" s="29">
        <v>5</v>
      </c>
      <c r="F14" s="29">
        <v>1</v>
      </c>
      <c r="G14" s="30"/>
    </row>
    <row r="15" ht="20" customHeight="1" spans="1:7">
      <c r="A15" s="27" t="s">
        <v>90</v>
      </c>
      <c r="B15" s="28"/>
      <c r="C15" s="28"/>
      <c r="D15" s="28"/>
      <c r="E15" s="28"/>
      <c r="F15" s="28"/>
      <c r="G15" s="30"/>
    </row>
    <row r="16" ht="28" spans="1:7">
      <c r="A16" s="23" t="s">
        <v>78</v>
      </c>
      <c r="B16" s="23" t="s">
        <v>91</v>
      </c>
      <c r="C16" s="23" t="s">
        <v>92</v>
      </c>
      <c r="D16" s="23" t="s">
        <v>93</v>
      </c>
      <c r="E16" s="29">
        <v>2</v>
      </c>
      <c r="F16" s="29">
        <v>1</v>
      </c>
      <c r="G16" s="30"/>
    </row>
    <row r="17" ht="28" spans="1:7">
      <c r="A17" s="23" t="s">
        <v>78</v>
      </c>
      <c r="B17" s="23" t="s">
        <v>78</v>
      </c>
      <c r="C17" s="23" t="s">
        <v>94</v>
      </c>
      <c r="D17" s="23" t="s">
        <v>95</v>
      </c>
      <c r="E17" s="29">
        <v>2</v>
      </c>
      <c r="F17" s="29">
        <v>1</v>
      </c>
      <c r="G17" s="30"/>
    </row>
    <row r="18" spans="1:7">
      <c r="A18" s="23" t="s">
        <v>78</v>
      </c>
      <c r="B18" s="23" t="s">
        <v>78</v>
      </c>
      <c r="C18" s="23" t="s">
        <v>96</v>
      </c>
      <c r="D18" s="23" t="s">
        <v>97</v>
      </c>
      <c r="E18" s="29">
        <v>1</v>
      </c>
      <c r="F18" s="29">
        <v>0.5</v>
      </c>
      <c r="G18" s="30"/>
    </row>
    <row r="19" ht="28" spans="1:7">
      <c r="A19" s="23" t="s">
        <v>78</v>
      </c>
      <c r="B19" s="23" t="s">
        <v>98</v>
      </c>
      <c r="C19" s="23" t="s">
        <v>99</v>
      </c>
      <c r="D19" s="23" t="s">
        <v>100</v>
      </c>
      <c r="E19" s="29">
        <v>1</v>
      </c>
      <c r="F19" s="29">
        <v>0.5</v>
      </c>
      <c r="G19" s="30"/>
    </row>
    <row r="20" ht="101" spans="1:7">
      <c r="A20" s="23" t="s">
        <v>78</v>
      </c>
      <c r="B20" s="23" t="s">
        <v>78</v>
      </c>
      <c r="C20" s="23" t="s">
        <v>101</v>
      </c>
      <c r="D20" s="23" t="s">
        <v>102</v>
      </c>
      <c r="E20" s="29">
        <v>12</v>
      </c>
      <c r="F20" s="29">
        <v>4</v>
      </c>
      <c r="G20" s="31" t="s">
        <v>103</v>
      </c>
    </row>
    <row r="21" spans="1:6">
      <c r="A21" s="4" t="s">
        <v>78</v>
      </c>
      <c r="B21" s="4" t="s">
        <v>104</v>
      </c>
      <c r="C21" s="4" t="s">
        <v>105</v>
      </c>
      <c r="D21" s="4" t="s">
        <v>106</v>
      </c>
      <c r="E21" s="3">
        <v>2</v>
      </c>
      <c r="F21" s="3">
        <v>0.5</v>
      </c>
    </row>
    <row r="22" ht="20" customHeight="1" spans="1:6">
      <c r="A22" s="15" t="s">
        <v>107</v>
      </c>
      <c r="B22" s="16"/>
      <c r="C22" s="16"/>
      <c r="D22" s="16"/>
      <c r="E22" s="16"/>
      <c r="F22" s="16"/>
    </row>
    <row r="23" ht="28" spans="1:6">
      <c r="A23" s="4" t="s">
        <v>78</v>
      </c>
      <c r="B23" s="4" t="s">
        <v>108</v>
      </c>
      <c r="C23" s="4" t="s">
        <v>109</v>
      </c>
      <c r="D23" s="4" t="s">
        <v>110</v>
      </c>
      <c r="E23" s="3">
        <v>6</v>
      </c>
      <c r="F23" s="3">
        <v>2</v>
      </c>
    </row>
    <row r="24" ht="28" spans="1:6">
      <c r="A24" s="4" t="s">
        <v>78</v>
      </c>
      <c r="B24" s="4" t="s">
        <v>78</v>
      </c>
      <c r="C24" s="4" t="s">
        <v>111</v>
      </c>
      <c r="D24" s="4" t="s">
        <v>112</v>
      </c>
      <c r="E24" s="3">
        <v>3</v>
      </c>
      <c r="F24" s="3">
        <v>1</v>
      </c>
    </row>
    <row r="25" s="20" customFormat="1" spans="1:6">
      <c r="A25" s="17" t="s">
        <v>78</v>
      </c>
      <c r="B25" s="17" t="s">
        <v>113</v>
      </c>
      <c r="C25" s="17" t="s">
        <v>114</v>
      </c>
      <c r="D25" s="17" t="s">
        <v>115</v>
      </c>
      <c r="E25" s="19"/>
      <c r="F25" s="19"/>
    </row>
    <row r="26" spans="1:6">
      <c r="A26" s="4" t="s">
        <v>78</v>
      </c>
      <c r="B26" s="4" t="s">
        <v>116</v>
      </c>
      <c r="C26" s="4" t="s">
        <v>117</v>
      </c>
      <c r="D26" s="4" t="s">
        <v>118</v>
      </c>
      <c r="E26" s="3">
        <v>3</v>
      </c>
      <c r="F26" s="3">
        <v>1</v>
      </c>
    </row>
    <row r="27" spans="1:6">
      <c r="A27" s="4" t="s">
        <v>78</v>
      </c>
      <c r="B27" s="4" t="s">
        <v>119</v>
      </c>
      <c r="C27" s="4" t="s">
        <v>120</v>
      </c>
      <c r="D27" s="4" t="s">
        <v>121</v>
      </c>
      <c r="E27" s="3">
        <v>3</v>
      </c>
      <c r="F27" s="3">
        <v>1</v>
      </c>
    </row>
    <row r="28" ht="20" customHeight="1" spans="1:6">
      <c r="A28" s="15" t="s">
        <v>122</v>
      </c>
      <c r="B28" s="16"/>
      <c r="C28" s="16"/>
      <c r="D28" s="16"/>
      <c r="E28" s="16"/>
      <c r="F28" s="16"/>
    </row>
    <row r="29" spans="1:6">
      <c r="A29" s="4" t="s">
        <v>78</v>
      </c>
      <c r="B29" s="4" t="s">
        <v>123</v>
      </c>
      <c r="C29" s="4" t="s">
        <v>124</v>
      </c>
      <c r="D29" s="4" t="s">
        <v>125</v>
      </c>
      <c r="E29" s="3">
        <v>2</v>
      </c>
      <c r="F29" s="3">
        <v>1</v>
      </c>
    </row>
    <row r="30" spans="1:6">
      <c r="A30" s="4" t="s">
        <v>78</v>
      </c>
      <c r="B30" s="4" t="s">
        <v>78</v>
      </c>
      <c r="C30" s="4" t="s">
        <v>126</v>
      </c>
      <c r="D30" s="4" t="s">
        <v>127</v>
      </c>
      <c r="E30" s="3">
        <v>1</v>
      </c>
      <c r="F30" s="3">
        <v>0.5</v>
      </c>
    </row>
    <row r="31" spans="1:6">
      <c r="A31" s="4" t="s">
        <v>78</v>
      </c>
      <c r="B31" s="4" t="s">
        <v>128</v>
      </c>
      <c r="C31" s="4" t="s">
        <v>129</v>
      </c>
      <c r="D31" s="4" t="s">
        <v>130</v>
      </c>
      <c r="E31" s="3">
        <v>3</v>
      </c>
      <c r="F31" s="3">
        <v>1</v>
      </c>
    </row>
    <row r="32" spans="1:6">
      <c r="A32" s="4" t="s">
        <v>78</v>
      </c>
      <c r="B32" s="4" t="s">
        <v>78</v>
      </c>
      <c r="C32" s="4" t="s">
        <v>131</v>
      </c>
      <c r="D32" s="4" t="s">
        <v>132</v>
      </c>
      <c r="E32" s="3">
        <v>3</v>
      </c>
      <c r="F32" s="3">
        <v>0.5</v>
      </c>
    </row>
    <row r="33" spans="1:6">
      <c r="A33" s="4" t="s">
        <v>78</v>
      </c>
      <c r="B33" s="4" t="s">
        <v>133</v>
      </c>
      <c r="C33" s="4" t="s">
        <v>134</v>
      </c>
      <c r="D33" s="4" t="s">
        <v>135</v>
      </c>
      <c r="E33" s="3">
        <v>1</v>
      </c>
      <c r="F33" s="3">
        <v>0.5</v>
      </c>
    </row>
    <row r="34" spans="1:6">
      <c r="A34" s="4" t="s">
        <v>78</v>
      </c>
      <c r="B34" s="4" t="s">
        <v>116</v>
      </c>
      <c r="C34" s="4" t="s">
        <v>136</v>
      </c>
      <c r="D34" s="4" t="s">
        <v>137</v>
      </c>
      <c r="E34" s="3">
        <v>2</v>
      </c>
      <c r="F34" s="3">
        <v>0.5</v>
      </c>
    </row>
    <row r="35" spans="1:6">
      <c r="A35" s="4" t="s">
        <v>78</v>
      </c>
      <c r="B35" s="4" t="s">
        <v>138</v>
      </c>
      <c r="C35" s="4" t="s">
        <v>139</v>
      </c>
      <c r="D35" s="4" t="s">
        <v>140</v>
      </c>
      <c r="E35" s="3">
        <v>1</v>
      </c>
      <c r="F35" s="3">
        <v>0.5</v>
      </c>
    </row>
    <row r="36" spans="1:7">
      <c r="A36" s="23" t="s">
        <v>78</v>
      </c>
      <c r="B36" s="23" t="s">
        <v>78</v>
      </c>
      <c r="C36" s="23" t="s">
        <v>141</v>
      </c>
      <c r="D36" s="23" t="s">
        <v>142</v>
      </c>
      <c r="E36" s="29">
        <v>2</v>
      </c>
      <c r="F36" s="29">
        <v>0.5</v>
      </c>
      <c r="G36" s="30"/>
    </row>
    <row r="37" spans="1:7">
      <c r="A37" s="23" t="s">
        <v>78</v>
      </c>
      <c r="B37" s="23" t="s">
        <v>78</v>
      </c>
      <c r="C37" s="23" t="s">
        <v>143</v>
      </c>
      <c r="D37" s="23" t="s">
        <v>144</v>
      </c>
      <c r="E37" s="29">
        <v>1</v>
      </c>
      <c r="F37" s="29">
        <v>1</v>
      </c>
      <c r="G37" s="30"/>
    </row>
    <row r="38" ht="20" customHeight="1" spans="1:7">
      <c r="A38" s="27" t="s">
        <v>145</v>
      </c>
      <c r="B38" s="28"/>
      <c r="C38" s="28"/>
      <c r="D38" s="28"/>
      <c r="E38" s="28"/>
      <c r="F38" s="28"/>
      <c r="G38" s="30"/>
    </row>
    <row r="39" ht="28" spans="1:7">
      <c r="A39" s="23" t="s">
        <v>78</v>
      </c>
      <c r="B39" s="23" t="s">
        <v>146</v>
      </c>
      <c r="C39" s="23" t="s">
        <v>147</v>
      </c>
      <c r="D39" s="23" t="s">
        <v>148</v>
      </c>
      <c r="E39" s="29">
        <v>5</v>
      </c>
      <c r="F39" s="29">
        <v>2</v>
      </c>
      <c r="G39" s="30"/>
    </row>
    <row r="40" spans="1:7">
      <c r="A40" s="23" t="s">
        <v>78</v>
      </c>
      <c r="B40" s="23" t="s">
        <v>78</v>
      </c>
      <c r="C40" s="23" t="s">
        <v>149</v>
      </c>
      <c r="D40" s="23" t="s">
        <v>150</v>
      </c>
      <c r="E40" s="29">
        <v>2</v>
      </c>
      <c r="F40" s="29">
        <v>1</v>
      </c>
      <c r="G40" s="30"/>
    </row>
    <row r="41" spans="1:7">
      <c r="A41" s="23" t="s">
        <v>78</v>
      </c>
      <c r="B41" s="23" t="s">
        <v>151</v>
      </c>
      <c r="C41" s="23" t="s">
        <v>152</v>
      </c>
      <c r="D41" s="23" t="s">
        <v>153</v>
      </c>
      <c r="E41" s="29">
        <v>2</v>
      </c>
      <c r="F41" s="29">
        <v>0.5</v>
      </c>
      <c r="G41" s="30"/>
    </row>
    <row r="42" spans="1:7">
      <c r="A42" s="23" t="s">
        <v>78</v>
      </c>
      <c r="B42" s="23" t="s">
        <v>154</v>
      </c>
      <c r="C42" s="23" t="s">
        <v>155</v>
      </c>
      <c r="D42" s="23" t="s">
        <v>156</v>
      </c>
      <c r="E42" s="29">
        <v>2</v>
      </c>
      <c r="F42" s="29">
        <v>0.5</v>
      </c>
      <c r="G42" s="30"/>
    </row>
    <row r="43" spans="1:7">
      <c r="A43" s="23" t="s">
        <v>78</v>
      </c>
      <c r="B43" s="23" t="s">
        <v>78</v>
      </c>
      <c r="C43" s="23" t="s">
        <v>157</v>
      </c>
      <c r="D43" s="23" t="s">
        <v>158</v>
      </c>
      <c r="E43" s="29">
        <v>2</v>
      </c>
      <c r="F43" s="29">
        <v>0.5</v>
      </c>
      <c r="G43" s="30"/>
    </row>
    <row r="44" ht="20" customHeight="1" spans="1:7">
      <c r="A44" s="27" t="s">
        <v>159</v>
      </c>
      <c r="B44" s="28"/>
      <c r="C44" s="28"/>
      <c r="D44" s="28"/>
      <c r="E44" s="28"/>
      <c r="F44" s="28"/>
      <c r="G44" s="30"/>
    </row>
    <row r="45" ht="28" spans="1:7">
      <c r="A45" s="23" t="s">
        <v>78</v>
      </c>
      <c r="B45" s="23" t="s">
        <v>160</v>
      </c>
      <c r="C45" s="23" t="s">
        <v>161</v>
      </c>
      <c r="D45" s="23" t="s">
        <v>162</v>
      </c>
      <c r="E45" s="29">
        <v>3</v>
      </c>
      <c r="F45" s="29">
        <v>1</v>
      </c>
      <c r="G45" s="30"/>
    </row>
    <row r="46" spans="1:6">
      <c r="A46" s="4" t="s">
        <v>78</v>
      </c>
      <c r="B46" s="4" t="s">
        <v>163</v>
      </c>
      <c r="C46" s="4" t="s">
        <v>164</v>
      </c>
      <c r="D46" s="4" t="s">
        <v>165</v>
      </c>
      <c r="E46" s="3">
        <v>2</v>
      </c>
      <c r="F46" s="3">
        <v>1</v>
      </c>
    </row>
    <row r="47" spans="1:6">
      <c r="A47" s="4" t="s">
        <v>78</v>
      </c>
      <c r="B47" s="4" t="s">
        <v>78</v>
      </c>
      <c r="C47" s="4" t="s">
        <v>166</v>
      </c>
      <c r="D47" s="4" t="s">
        <v>167</v>
      </c>
      <c r="E47" s="3">
        <v>1</v>
      </c>
      <c r="F47" s="3">
        <v>0.5</v>
      </c>
    </row>
    <row r="48" spans="1:6">
      <c r="A48" s="4" t="s">
        <v>78</v>
      </c>
      <c r="B48" s="4" t="s">
        <v>168</v>
      </c>
      <c r="C48" s="4" t="s">
        <v>149</v>
      </c>
      <c r="D48" s="4" t="s">
        <v>169</v>
      </c>
      <c r="E48" s="3">
        <v>1</v>
      </c>
      <c r="F48" s="3">
        <v>0.5</v>
      </c>
    </row>
    <row r="49" ht="20" customHeight="1" spans="1:6">
      <c r="A49" s="15" t="s">
        <v>170</v>
      </c>
      <c r="B49" s="16"/>
      <c r="C49" s="16"/>
      <c r="D49" s="16"/>
      <c r="E49" s="16"/>
      <c r="F49" s="16"/>
    </row>
    <row r="50" spans="1:6">
      <c r="A50" s="4" t="s">
        <v>78</v>
      </c>
      <c r="B50" s="4" t="s">
        <v>171</v>
      </c>
      <c r="C50" s="4" t="s">
        <v>123</v>
      </c>
      <c r="D50" s="4" t="s">
        <v>172</v>
      </c>
      <c r="E50" s="3">
        <v>5</v>
      </c>
      <c r="F50" s="3">
        <v>2</v>
      </c>
    </row>
    <row r="51" ht="28" spans="1:6">
      <c r="A51" s="4" t="s">
        <v>78</v>
      </c>
      <c r="B51" s="4" t="s">
        <v>78</v>
      </c>
      <c r="C51" s="4" t="s">
        <v>173</v>
      </c>
      <c r="D51" s="4" t="s">
        <v>174</v>
      </c>
      <c r="E51" s="3">
        <v>2</v>
      </c>
      <c r="F51" s="3">
        <v>1</v>
      </c>
    </row>
    <row r="52" ht="28" spans="1:6">
      <c r="A52" s="4" t="s">
        <v>78</v>
      </c>
      <c r="B52" s="4" t="s">
        <v>78</v>
      </c>
      <c r="C52" s="4" t="s">
        <v>175</v>
      </c>
      <c r="D52" s="4" t="s">
        <v>176</v>
      </c>
      <c r="E52" s="3">
        <v>2</v>
      </c>
      <c r="F52" s="3">
        <v>1</v>
      </c>
    </row>
    <row r="53" spans="1:6">
      <c r="A53" s="4" t="s">
        <v>78</v>
      </c>
      <c r="B53" s="4" t="s">
        <v>78</v>
      </c>
      <c r="C53" s="4" t="s">
        <v>154</v>
      </c>
      <c r="D53" s="4" t="s">
        <v>177</v>
      </c>
      <c r="E53" s="3">
        <v>1</v>
      </c>
      <c r="F53" s="3">
        <v>0.5</v>
      </c>
    </row>
    <row r="54" spans="1:6">
      <c r="A54" s="4" t="s">
        <v>78</v>
      </c>
      <c r="B54" s="4" t="s">
        <v>178</v>
      </c>
      <c r="C54" s="4" t="s">
        <v>179</v>
      </c>
      <c r="D54" s="4" t="s">
        <v>180</v>
      </c>
      <c r="E54" s="3">
        <v>5</v>
      </c>
      <c r="F54" s="3">
        <v>2</v>
      </c>
    </row>
    <row r="55" spans="1:6">
      <c r="A55" s="4" t="s">
        <v>78</v>
      </c>
      <c r="B55" s="4" t="s">
        <v>78</v>
      </c>
      <c r="C55" s="4" t="s">
        <v>181</v>
      </c>
      <c r="D55" s="4" t="s">
        <v>182</v>
      </c>
      <c r="E55" s="3">
        <v>2</v>
      </c>
      <c r="F55" s="3">
        <v>1</v>
      </c>
    </row>
    <row r="56" ht="20" customHeight="1" spans="1:6">
      <c r="A56" s="15" t="s">
        <v>183</v>
      </c>
      <c r="B56" s="16"/>
      <c r="C56" s="16"/>
      <c r="D56" s="16"/>
      <c r="E56" s="16"/>
      <c r="F56" s="16"/>
    </row>
    <row r="57" spans="1:6">
      <c r="A57" s="4" t="s">
        <v>78</v>
      </c>
      <c r="B57" s="4" t="s">
        <v>184</v>
      </c>
      <c r="C57" s="4" t="s">
        <v>185</v>
      </c>
      <c r="D57" s="4" t="s">
        <v>186</v>
      </c>
      <c r="E57" s="3">
        <v>2</v>
      </c>
      <c r="F57" s="3">
        <v>1</v>
      </c>
    </row>
    <row r="58" spans="1:6">
      <c r="A58" s="4" t="s">
        <v>78</v>
      </c>
      <c r="B58" s="4" t="s">
        <v>78</v>
      </c>
      <c r="C58" s="4" t="s">
        <v>187</v>
      </c>
      <c r="D58" s="4" t="s">
        <v>188</v>
      </c>
      <c r="E58" s="3">
        <v>1</v>
      </c>
      <c r="F58" s="3">
        <v>0.5</v>
      </c>
    </row>
    <row r="59" spans="1:6">
      <c r="A59" s="4" t="s">
        <v>78</v>
      </c>
      <c r="B59" s="17" t="s">
        <v>189</v>
      </c>
      <c r="C59" s="17" t="s">
        <v>190</v>
      </c>
      <c r="D59" s="17" t="s">
        <v>191</v>
      </c>
      <c r="E59" s="19"/>
      <c r="F59" s="19"/>
    </row>
    <row r="60" spans="1:6">
      <c r="A60" s="4" t="s">
        <v>78</v>
      </c>
      <c r="B60" s="17" t="s">
        <v>78</v>
      </c>
      <c r="C60" s="17" t="s">
        <v>192</v>
      </c>
      <c r="D60" s="17" t="s">
        <v>193</v>
      </c>
      <c r="E60" s="19"/>
      <c r="F60" s="19"/>
    </row>
    <row r="61" ht="20" customHeight="1" spans="1:6">
      <c r="A61" s="15" t="s">
        <v>194</v>
      </c>
      <c r="B61" s="16"/>
      <c r="C61" s="16"/>
      <c r="D61" s="16"/>
      <c r="E61" s="16"/>
      <c r="F61" s="16"/>
    </row>
    <row r="62" spans="1:6">
      <c r="A62" s="4" t="s">
        <v>78</v>
      </c>
      <c r="B62" s="4" t="s">
        <v>195</v>
      </c>
      <c r="C62" s="4" t="s">
        <v>196</v>
      </c>
      <c r="D62" s="4" t="s">
        <v>197</v>
      </c>
      <c r="E62" s="3">
        <v>2</v>
      </c>
      <c r="F62" s="3">
        <v>1</v>
      </c>
    </row>
    <row r="63" spans="1:6">
      <c r="A63" s="4" t="s">
        <v>78</v>
      </c>
      <c r="B63" s="4" t="s">
        <v>78</v>
      </c>
      <c r="C63" s="4" t="s">
        <v>198</v>
      </c>
      <c r="D63" s="4" t="s">
        <v>199</v>
      </c>
      <c r="E63" s="3">
        <v>2</v>
      </c>
      <c r="F63" s="3">
        <v>1</v>
      </c>
    </row>
    <row r="64" spans="1:6">
      <c r="A64" s="4" t="s">
        <v>78</v>
      </c>
      <c r="B64" s="4" t="s">
        <v>200</v>
      </c>
      <c r="C64" s="4" t="s">
        <v>201</v>
      </c>
      <c r="D64" s="4" t="s">
        <v>202</v>
      </c>
      <c r="E64" s="3">
        <v>2</v>
      </c>
      <c r="F64" s="3">
        <v>1</v>
      </c>
    </row>
    <row r="65" spans="1:6">
      <c r="A65" s="4" t="s">
        <v>78</v>
      </c>
      <c r="B65" s="4" t="s">
        <v>78</v>
      </c>
      <c r="C65" s="4" t="s">
        <v>203</v>
      </c>
      <c r="D65" s="4" t="s">
        <v>204</v>
      </c>
      <c r="E65" s="3">
        <v>2</v>
      </c>
      <c r="F65" s="3">
        <v>1</v>
      </c>
    </row>
    <row r="66" spans="1:6">
      <c r="A66" s="4" t="s">
        <v>78</v>
      </c>
      <c r="B66" s="4" t="s">
        <v>205</v>
      </c>
      <c r="C66" s="4" t="s">
        <v>206</v>
      </c>
      <c r="D66" s="4" t="s">
        <v>207</v>
      </c>
      <c r="E66" s="3">
        <v>2</v>
      </c>
      <c r="F66" s="3">
        <v>1</v>
      </c>
    </row>
    <row r="67" spans="1:6">
      <c r="A67" s="4" t="s">
        <v>78</v>
      </c>
      <c r="B67" s="4" t="s">
        <v>208</v>
      </c>
      <c r="C67" s="4" t="s">
        <v>209</v>
      </c>
      <c r="D67" s="4" t="s">
        <v>210</v>
      </c>
      <c r="E67" s="3">
        <v>2</v>
      </c>
      <c r="F67" s="3">
        <v>1</v>
      </c>
    </row>
    <row r="68" spans="1:6">
      <c r="A68" s="4" t="s">
        <v>78</v>
      </c>
      <c r="B68" s="4" t="s">
        <v>211</v>
      </c>
      <c r="C68" s="4" t="s">
        <v>212</v>
      </c>
      <c r="D68" s="4" t="s">
        <v>213</v>
      </c>
      <c r="E68" s="3">
        <v>3</v>
      </c>
      <c r="F68" s="3">
        <v>1.5</v>
      </c>
    </row>
    <row r="69" spans="1:6">
      <c r="A69" s="4" t="s">
        <v>78</v>
      </c>
      <c r="B69" s="4" t="s">
        <v>78</v>
      </c>
      <c r="C69" s="4" t="s">
        <v>214</v>
      </c>
      <c r="D69" s="4" t="s">
        <v>215</v>
      </c>
      <c r="E69" s="3">
        <v>1</v>
      </c>
      <c r="F69" s="3">
        <v>0.5</v>
      </c>
    </row>
    <row r="70" spans="1:6">
      <c r="A70" s="4" t="s">
        <v>78</v>
      </c>
      <c r="B70" s="4" t="s">
        <v>78</v>
      </c>
      <c r="C70" s="4" t="s">
        <v>216</v>
      </c>
      <c r="D70" s="4" t="s">
        <v>217</v>
      </c>
      <c r="E70" s="3">
        <v>1</v>
      </c>
      <c r="F70" s="3">
        <v>0.5</v>
      </c>
    </row>
    <row r="71" spans="5:6">
      <c r="E71" s="12">
        <f>SUM(E4:E70)</f>
        <v>144</v>
      </c>
      <c r="F71" s="12">
        <f>SUM(F4:F70)</f>
        <v>54.5</v>
      </c>
    </row>
  </sheetData>
  <mergeCells count="15">
    <mergeCell ref="A1:F1"/>
    <mergeCell ref="A3:F3"/>
    <mergeCell ref="A10:F10"/>
    <mergeCell ref="A15:F15"/>
    <mergeCell ref="A22:F22"/>
    <mergeCell ref="A28:F28"/>
    <mergeCell ref="A38:F38"/>
    <mergeCell ref="A44:F44"/>
    <mergeCell ref="A49:F49"/>
    <mergeCell ref="A56:F56"/>
    <mergeCell ref="A61:F61"/>
    <mergeCell ref="A4:A9"/>
    <mergeCell ref="B4:B5"/>
    <mergeCell ref="B6:B7"/>
    <mergeCell ref="B8:B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opLeftCell="A61" workbookViewId="0">
      <selection activeCell="E68" sqref="E68:F68"/>
    </sheetView>
  </sheetViews>
  <sheetFormatPr defaultColWidth="9" defaultRowHeight="16.8" outlineLevelCol="5"/>
  <cols>
    <col min="1" max="1" width="12" customWidth="1"/>
    <col min="2" max="2" width="20" customWidth="1"/>
    <col min="3" max="3" width="25" customWidth="1"/>
    <col min="4" max="4" width="40" customWidth="1"/>
    <col min="5" max="6" width="12" customWidth="1"/>
  </cols>
  <sheetData>
    <row r="1" ht="30" customHeight="1" spans="1:1">
      <c r="A1" s="1" t="s">
        <v>218</v>
      </c>
    </row>
    <row r="2" s="13" customFormat="1" ht="30" customHeight="1" spans="1:6">
      <c r="A2" s="14" t="s">
        <v>54</v>
      </c>
      <c r="B2" s="14" t="s">
        <v>55</v>
      </c>
      <c r="C2" s="14" t="s">
        <v>56</v>
      </c>
      <c r="D2" s="14" t="s">
        <v>57</v>
      </c>
      <c r="E2" s="14" t="s">
        <v>58</v>
      </c>
      <c r="F2" s="14" t="s">
        <v>59</v>
      </c>
    </row>
    <row r="3" ht="20" customHeight="1" spans="1:6">
      <c r="A3" s="15" t="s">
        <v>219</v>
      </c>
      <c r="B3" s="16"/>
      <c r="C3" s="16"/>
      <c r="D3" s="16"/>
      <c r="E3" s="16"/>
      <c r="F3" s="18"/>
    </row>
    <row r="4" spans="1:6">
      <c r="A4" s="4" t="s">
        <v>78</v>
      </c>
      <c r="B4" s="4" t="s">
        <v>220</v>
      </c>
      <c r="C4" s="4" t="s">
        <v>221</v>
      </c>
      <c r="D4" s="4" t="s">
        <v>222</v>
      </c>
      <c r="E4" s="3">
        <v>2</v>
      </c>
      <c r="F4" s="3">
        <v>1</v>
      </c>
    </row>
    <row r="5" spans="1:6">
      <c r="A5" s="4" t="s">
        <v>78</v>
      </c>
      <c r="B5" s="4" t="s">
        <v>78</v>
      </c>
      <c r="C5" s="4" t="s">
        <v>223</v>
      </c>
      <c r="D5" s="4" t="s">
        <v>224</v>
      </c>
      <c r="E5" s="3">
        <v>3</v>
      </c>
      <c r="F5" s="3">
        <v>1</v>
      </c>
    </row>
    <row r="6" spans="1:6">
      <c r="A6" s="4" t="s">
        <v>78</v>
      </c>
      <c r="B6" s="4" t="s">
        <v>78</v>
      </c>
      <c r="C6" s="17" t="s">
        <v>225</v>
      </c>
      <c r="D6" s="17" t="s">
        <v>226</v>
      </c>
      <c r="E6" s="19"/>
      <c r="F6" s="19"/>
    </row>
    <row r="7" ht="28" spans="1:6">
      <c r="A7" s="4" t="s">
        <v>78</v>
      </c>
      <c r="B7" s="4" t="s">
        <v>227</v>
      </c>
      <c r="C7" s="4" t="s">
        <v>228</v>
      </c>
      <c r="D7" s="4" t="s">
        <v>229</v>
      </c>
      <c r="E7" s="3">
        <v>5</v>
      </c>
      <c r="F7" s="3">
        <v>1</v>
      </c>
    </row>
    <row r="8" spans="1:6">
      <c r="A8" s="4" t="s">
        <v>78</v>
      </c>
      <c r="B8" s="4" t="s">
        <v>78</v>
      </c>
      <c r="C8" s="4" t="s">
        <v>230</v>
      </c>
      <c r="D8" s="4" t="s">
        <v>231</v>
      </c>
      <c r="E8" s="3">
        <v>2</v>
      </c>
      <c r="F8" s="3">
        <v>0.5</v>
      </c>
    </row>
    <row r="9" spans="1:6">
      <c r="A9" s="4" t="s">
        <v>78</v>
      </c>
      <c r="B9" s="4" t="s">
        <v>78</v>
      </c>
      <c r="C9" s="4" t="s">
        <v>232</v>
      </c>
      <c r="D9" s="4" t="s">
        <v>233</v>
      </c>
      <c r="E9" s="3">
        <v>1</v>
      </c>
      <c r="F9" s="3">
        <v>0.5</v>
      </c>
    </row>
    <row r="10" ht="28" spans="1:6">
      <c r="A10" s="4" t="s">
        <v>78</v>
      </c>
      <c r="B10" s="4" t="s">
        <v>234</v>
      </c>
      <c r="C10" s="17" t="s">
        <v>235</v>
      </c>
      <c r="D10" s="17" t="s">
        <v>236</v>
      </c>
      <c r="E10" s="19"/>
      <c r="F10" s="19"/>
    </row>
    <row r="11" spans="1:6">
      <c r="A11" s="4" t="s">
        <v>78</v>
      </c>
      <c r="B11" s="4" t="s">
        <v>78</v>
      </c>
      <c r="C11" s="4" t="s">
        <v>237</v>
      </c>
      <c r="D11" s="4" t="s">
        <v>238</v>
      </c>
      <c r="E11" s="3">
        <v>3</v>
      </c>
      <c r="F11" s="3">
        <v>1</v>
      </c>
    </row>
    <row r="12" ht="20" customHeight="1" spans="1:6">
      <c r="A12" s="15" t="s">
        <v>239</v>
      </c>
      <c r="B12" s="16"/>
      <c r="C12" s="16"/>
      <c r="D12" s="16"/>
      <c r="E12" s="16"/>
      <c r="F12" s="18"/>
    </row>
    <row r="13" ht="28" spans="1:6">
      <c r="A13" s="4" t="s">
        <v>78</v>
      </c>
      <c r="B13" s="17" t="s">
        <v>240</v>
      </c>
      <c r="C13" s="17" t="s">
        <v>241</v>
      </c>
      <c r="D13" s="17" t="s">
        <v>242</v>
      </c>
      <c r="E13" s="19"/>
      <c r="F13" s="19"/>
    </row>
    <row r="14" spans="1:6">
      <c r="A14" s="4" t="s">
        <v>78</v>
      </c>
      <c r="B14" s="17" t="s">
        <v>78</v>
      </c>
      <c r="C14" s="17" t="s">
        <v>243</v>
      </c>
      <c r="D14" s="17" t="s">
        <v>244</v>
      </c>
      <c r="E14" s="19"/>
      <c r="F14" s="19"/>
    </row>
    <row r="15" ht="28" spans="1:6">
      <c r="A15" s="4" t="s">
        <v>78</v>
      </c>
      <c r="B15" s="17" t="s">
        <v>245</v>
      </c>
      <c r="C15" s="17" t="s">
        <v>246</v>
      </c>
      <c r="D15" s="17" t="s">
        <v>247</v>
      </c>
      <c r="E15" s="19"/>
      <c r="F15" s="19"/>
    </row>
    <row r="16" ht="28" spans="1:6">
      <c r="A16" s="4" t="s">
        <v>78</v>
      </c>
      <c r="B16" s="17" t="s">
        <v>78</v>
      </c>
      <c r="C16" s="17" t="s">
        <v>248</v>
      </c>
      <c r="D16" s="17" t="s">
        <v>249</v>
      </c>
      <c r="E16" s="19"/>
      <c r="F16" s="19"/>
    </row>
    <row r="17" ht="28" spans="1:6">
      <c r="A17" s="4" t="s">
        <v>78</v>
      </c>
      <c r="B17" s="17" t="s">
        <v>250</v>
      </c>
      <c r="C17" s="17" t="s">
        <v>251</v>
      </c>
      <c r="D17" s="17" t="s">
        <v>252</v>
      </c>
      <c r="E17" s="19"/>
      <c r="F17" s="19"/>
    </row>
    <row r="18" spans="1:6">
      <c r="A18" s="4" t="s">
        <v>78</v>
      </c>
      <c r="B18" s="17" t="s">
        <v>78</v>
      </c>
      <c r="C18" s="17" t="s">
        <v>253</v>
      </c>
      <c r="D18" s="17" t="s">
        <v>254</v>
      </c>
      <c r="E18" s="19"/>
      <c r="F18" s="19"/>
    </row>
    <row r="19" ht="20" customHeight="1" spans="1:6">
      <c r="A19" s="15" t="s">
        <v>255</v>
      </c>
      <c r="B19" s="16"/>
      <c r="C19" s="16"/>
      <c r="D19" s="16"/>
      <c r="E19" s="16"/>
      <c r="F19" s="18"/>
    </row>
    <row r="20" ht="28" spans="1:6">
      <c r="A20" s="4" t="s">
        <v>78</v>
      </c>
      <c r="B20" s="4" t="s">
        <v>256</v>
      </c>
      <c r="C20" s="4" t="s">
        <v>179</v>
      </c>
      <c r="D20" s="4" t="s">
        <v>257</v>
      </c>
      <c r="E20" s="3">
        <v>5</v>
      </c>
      <c r="F20" s="3">
        <v>1</v>
      </c>
    </row>
    <row r="21" spans="1:6">
      <c r="A21" s="4" t="s">
        <v>78</v>
      </c>
      <c r="B21" s="4" t="s">
        <v>78</v>
      </c>
      <c r="C21" s="4" t="s">
        <v>258</v>
      </c>
      <c r="D21" s="4" t="s">
        <v>259</v>
      </c>
      <c r="E21" s="3">
        <v>1</v>
      </c>
      <c r="F21" s="3">
        <v>0.5</v>
      </c>
    </row>
    <row r="22" spans="1:6">
      <c r="A22" s="4" t="s">
        <v>78</v>
      </c>
      <c r="B22" s="4" t="s">
        <v>260</v>
      </c>
      <c r="C22" s="4" t="s">
        <v>261</v>
      </c>
      <c r="D22" s="4" t="s">
        <v>262</v>
      </c>
      <c r="E22" s="3">
        <v>4</v>
      </c>
      <c r="F22" s="3">
        <v>1</v>
      </c>
    </row>
    <row r="23" spans="1:6">
      <c r="A23" s="4" t="s">
        <v>78</v>
      </c>
      <c r="B23" s="4" t="s">
        <v>78</v>
      </c>
      <c r="C23" s="4" t="s">
        <v>263</v>
      </c>
      <c r="D23" s="4" t="s">
        <v>264</v>
      </c>
      <c r="E23" s="3">
        <v>3</v>
      </c>
      <c r="F23" s="3">
        <v>1</v>
      </c>
    </row>
    <row r="24" spans="1:6">
      <c r="A24" s="4" t="s">
        <v>78</v>
      </c>
      <c r="B24" s="4" t="s">
        <v>78</v>
      </c>
      <c r="C24" s="4" t="s">
        <v>265</v>
      </c>
      <c r="D24" s="4" t="s">
        <v>266</v>
      </c>
      <c r="E24" s="3">
        <v>1</v>
      </c>
      <c r="F24" s="3">
        <v>0.5</v>
      </c>
    </row>
    <row r="25" spans="1:6">
      <c r="A25" s="4" t="s">
        <v>78</v>
      </c>
      <c r="B25" s="4" t="s">
        <v>181</v>
      </c>
      <c r="C25" s="4" t="s">
        <v>267</v>
      </c>
      <c r="D25" s="4" t="s">
        <v>268</v>
      </c>
      <c r="E25" s="3">
        <v>3</v>
      </c>
      <c r="F25" s="3">
        <v>1</v>
      </c>
    </row>
    <row r="26" spans="1:6">
      <c r="A26" s="4" t="s">
        <v>78</v>
      </c>
      <c r="B26" s="4" t="s">
        <v>78</v>
      </c>
      <c r="C26" s="4" t="s">
        <v>269</v>
      </c>
      <c r="D26" s="4" t="s">
        <v>270</v>
      </c>
      <c r="E26" s="3">
        <v>2</v>
      </c>
      <c r="F26" s="3">
        <v>1</v>
      </c>
    </row>
    <row r="27" ht="20" customHeight="1" spans="1:6">
      <c r="A27" s="15" t="s">
        <v>271</v>
      </c>
      <c r="B27" s="16"/>
      <c r="C27" s="16"/>
      <c r="D27" s="16"/>
      <c r="E27" s="16"/>
      <c r="F27" s="18"/>
    </row>
    <row r="28" spans="1:6">
      <c r="A28" s="4" t="s">
        <v>78</v>
      </c>
      <c r="B28" s="4" t="s">
        <v>272</v>
      </c>
      <c r="C28" s="4" t="s">
        <v>273</v>
      </c>
      <c r="D28" s="4" t="s">
        <v>274</v>
      </c>
      <c r="E28" s="3">
        <v>3</v>
      </c>
      <c r="F28" s="3">
        <v>1</v>
      </c>
    </row>
    <row r="29" spans="1:6">
      <c r="A29" s="4" t="s">
        <v>78</v>
      </c>
      <c r="B29" s="4" t="s">
        <v>78</v>
      </c>
      <c r="C29" s="4" t="s">
        <v>275</v>
      </c>
      <c r="D29" s="4" t="s">
        <v>276</v>
      </c>
      <c r="E29" s="3">
        <v>2</v>
      </c>
      <c r="F29" s="3">
        <v>1</v>
      </c>
    </row>
    <row r="30" spans="1:6">
      <c r="A30" s="4" t="s">
        <v>78</v>
      </c>
      <c r="B30" s="4" t="s">
        <v>277</v>
      </c>
      <c r="C30" s="4" t="s">
        <v>123</v>
      </c>
      <c r="D30" s="4" t="s">
        <v>278</v>
      </c>
      <c r="E30" s="3">
        <v>1</v>
      </c>
      <c r="F30" s="3">
        <v>0.5</v>
      </c>
    </row>
    <row r="31" spans="1:6">
      <c r="A31" s="4" t="s">
        <v>78</v>
      </c>
      <c r="B31" s="4" t="s">
        <v>78</v>
      </c>
      <c r="C31" s="4" t="s">
        <v>279</v>
      </c>
      <c r="D31" s="4" t="s">
        <v>280</v>
      </c>
      <c r="E31" s="3">
        <v>3</v>
      </c>
      <c r="F31" s="3">
        <v>1</v>
      </c>
    </row>
    <row r="32" spans="1:6">
      <c r="A32" s="4" t="s">
        <v>78</v>
      </c>
      <c r="B32" s="4" t="s">
        <v>78</v>
      </c>
      <c r="C32" s="4" t="s">
        <v>281</v>
      </c>
      <c r="D32" s="4" t="s">
        <v>282</v>
      </c>
      <c r="E32" s="3">
        <v>2</v>
      </c>
      <c r="F32" s="3">
        <v>1</v>
      </c>
    </row>
    <row r="33" spans="1:6">
      <c r="A33" s="4" t="s">
        <v>78</v>
      </c>
      <c r="B33" s="4" t="s">
        <v>283</v>
      </c>
      <c r="C33" s="4" t="s">
        <v>284</v>
      </c>
      <c r="D33" s="4" t="s">
        <v>285</v>
      </c>
      <c r="E33" s="3">
        <v>3</v>
      </c>
      <c r="F33" s="3">
        <v>1</v>
      </c>
    </row>
    <row r="34" spans="1:6">
      <c r="A34" s="4" t="s">
        <v>78</v>
      </c>
      <c r="B34" s="4" t="s">
        <v>78</v>
      </c>
      <c r="C34" s="4" t="s">
        <v>286</v>
      </c>
      <c r="D34" s="4" t="s">
        <v>287</v>
      </c>
      <c r="E34" s="3">
        <v>2</v>
      </c>
      <c r="F34" s="3">
        <v>1</v>
      </c>
    </row>
    <row r="35" spans="1:6">
      <c r="A35" s="4" t="s">
        <v>78</v>
      </c>
      <c r="B35" s="4" t="s">
        <v>288</v>
      </c>
      <c r="C35" s="4" t="s">
        <v>289</v>
      </c>
      <c r="D35" s="4" t="s">
        <v>290</v>
      </c>
      <c r="E35" s="3">
        <v>3</v>
      </c>
      <c r="F35" s="3">
        <v>1</v>
      </c>
    </row>
    <row r="36" spans="1:6">
      <c r="A36" s="4" t="s">
        <v>78</v>
      </c>
      <c r="B36" s="4" t="s">
        <v>78</v>
      </c>
      <c r="C36" s="4" t="s">
        <v>291</v>
      </c>
      <c r="D36" s="4" t="s">
        <v>292</v>
      </c>
      <c r="E36" s="3">
        <v>3</v>
      </c>
      <c r="F36" s="3">
        <v>1</v>
      </c>
    </row>
    <row r="37" ht="20" customHeight="1" spans="1:6">
      <c r="A37" s="15" t="s">
        <v>293</v>
      </c>
      <c r="B37" s="16"/>
      <c r="C37" s="16"/>
      <c r="D37" s="16"/>
      <c r="E37" s="16"/>
      <c r="F37" s="18"/>
    </row>
    <row r="38" spans="1:6">
      <c r="A38" s="4" t="s">
        <v>78</v>
      </c>
      <c r="B38" s="4" t="s">
        <v>294</v>
      </c>
      <c r="C38" s="4" t="s">
        <v>295</v>
      </c>
      <c r="D38" s="4" t="s">
        <v>296</v>
      </c>
      <c r="E38" s="3">
        <v>4</v>
      </c>
      <c r="F38" s="3">
        <v>1</v>
      </c>
    </row>
    <row r="39" spans="1:6">
      <c r="A39" s="4" t="s">
        <v>78</v>
      </c>
      <c r="B39" s="4" t="s">
        <v>78</v>
      </c>
      <c r="C39" s="4" t="s">
        <v>297</v>
      </c>
      <c r="D39" s="4" t="s">
        <v>298</v>
      </c>
      <c r="E39" s="3">
        <v>2</v>
      </c>
      <c r="F39" s="3">
        <v>1</v>
      </c>
    </row>
    <row r="40" spans="1:6">
      <c r="A40" s="4" t="s">
        <v>78</v>
      </c>
      <c r="B40" s="4" t="s">
        <v>299</v>
      </c>
      <c r="C40" s="4" t="s">
        <v>300</v>
      </c>
      <c r="D40" s="4" t="s">
        <v>301</v>
      </c>
      <c r="E40" s="3">
        <v>3</v>
      </c>
      <c r="F40" s="3">
        <v>1</v>
      </c>
    </row>
    <row r="41" spans="1:6">
      <c r="A41" s="4" t="s">
        <v>78</v>
      </c>
      <c r="B41" s="4" t="s">
        <v>78</v>
      </c>
      <c r="C41" s="4" t="s">
        <v>302</v>
      </c>
      <c r="D41" s="4" t="s">
        <v>303</v>
      </c>
      <c r="E41" s="3">
        <v>2</v>
      </c>
      <c r="F41" s="3">
        <v>1</v>
      </c>
    </row>
    <row r="42" spans="1:6">
      <c r="A42" s="4" t="s">
        <v>78</v>
      </c>
      <c r="B42" s="4" t="s">
        <v>78</v>
      </c>
      <c r="C42" s="4" t="s">
        <v>304</v>
      </c>
      <c r="D42" s="4" t="s">
        <v>305</v>
      </c>
      <c r="E42" s="3">
        <v>2</v>
      </c>
      <c r="F42" s="3">
        <v>1</v>
      </c>
    </row>
    <row r="43" spans="1:6">
      <c r="A43" s="4" t="s">
        <v>78</v>
      </c>
      <c r="B43" s="4" t="s">
        <v>306</v>
      </c>
      <c r="C43" s="4" t="s">
        <v>307</v>
      </c>
      <c r="D43" s="4" t="s">
        <v>308</v>
      </c>
      <c r="E43" s="3">
        <v>2</v>
      </c>
      <c r="F43" s="3">
        <v>1</v>
      </c>
    </row>
    <row r="44" spans="1:6">
      <c r="A44" s="4" t="s">
        <v>78</v>
      </c>
      <c r="B44" s="4" t="s">
        <v>78</v>
      </c>
      <c r="C44" s="4" t="s">
        <v>309</v>
      </c>
      <c r="D44" s="4" t="s">
        <v>310</v>
      </c>
      <c r="E44" s="3">
        <v>1</v>
      </c>
      <c r="F44" s="3">
        <v>0.5</v>
      </c>
    </row>
    <row r="45" ht="20" customHeight="1" spans="1:6">
      <c r="A45" s="15" t="s">
        <v>311</v>
      </c>
      <c r="B45" s="16"/>
      <c r="C45" s="16"/>
      <c r="D45" s="16"/>
      <c r="E45" s="16"/>
      <c r="F45" s="18"/>
    </row>
    <row r="46" spans="1:6">
      <c r="A46" s="4" t="s">
        <v>78</v>
      </c>
      <c r="B46" s="4" t="s">
        <v>312</v>
      </c>
      <c r="C46" s="4" t="s">
        <v>313</v>
      </c>
      <c r="D46" s="4" t="s">
        <v>314</v>
      </c>
      <c r="E46" s="3">
        <v>3</v>
      </c>
      <c r="F46" s="3">
        <v>1</v>
      </c>
    </row>
    <row r="47" spans="1:6">
      <c r="A47" s="4" t="s">
        <v>78</v>
      </c>
      <c r="B47" s="4" t="s">
        <v>78</v>
      </c>
      <c r="C47" s="4" t="s">
        <v>315</v>
      </c>
      <c r="D47" s="4" t="s">
        <v>316</v>
      </c>
      <c r="E47" s="3">
        <v>2</v>
      </c>
      <c r="F47" s="3">
        <v>1</v>
      </c>
    </row>
    <row r="48" spans="1:6">
      <c r="A48" s="4" t="s">
        <v>78</v>
      </c>
      <c r="B48" s="4" t="s">
        <v>317</v>
      </c>
      <c r="C48" s="4" t="s">
        <v>318</v>
      </c>
      <c r="D48" s="4" t="s">
        <v>319</v>
      </c>
      <c r="E48" s="3">
        <v>2</v>
      </c>
      <c r="F48" s="3">
        <v>1</v>
      </c>
    </row>
    <row r="49" spans="1:6">
      <c r="A49" s="4" t="s">
        <v>78</v>
      </c>
      <c r="B49" s="4" t="s">
        <v>78</v>
      </c>
      <c r="C49" s="4" t="s">
        <v>320</v>
      </c>
      <c r="D49" s="4" t="s">
        <v>321</v>
      </c>
      <c r="E49" s="3">
        <v>2</v>
      </c>
      <c r="F49" s="3">
        <v>1</v>
      </c>
    </row>
    <row r="50" spans="1:6">
      <c r="A50" s="4" t="s">
        <v>78</v>
      </c>
      <c r="B50" s="4" t="s">
        <v>322</v>
      </c>
      <c r="C50" s="4" t="s">
        <v>323</v>
      </c>
      <c r="D50" s="4" t="s">
        <v>324</v>
      </c>
      <c r="E50" s="3">
        <v>2</v>
      </c>
      <c r="F50" s="3">
        <v>1</v>
      </c>
    </row>
    <row r="51" spans="1:6">
      <c r="A51" s="4" t="s">
        <v>78</v>
      </c>
      <c r="B51" s="4" t="s">
        <v>78</v>
      </c>
      <c r="C51" s="4" t="s">
        <v>325</v>
      </c>
      <c r="D51" s="4" t="s">
        <v>326</v>
      </c>
      <c r="E51" s="3">
        <v>3</v>
      </c>
      <c r="F51" s="3">
        <v>1</v>
      </c>
    </row>
    <row r="52" spans="1:6">
      <c r="A52" s="4" t="s">
        <v>78</v>
      </c>
      <c r="B52" s="4" t="s">
        <v>327</v>
      </c>
      <c r="C52" s="4" t="s">
        <v>328</v>
      </c>
      <c r="D52" s="4" t="s">
        <v>329</v>
      </c>
      <c r="E52" s="3">
        <v>3</v>
      </c>
      <c r="F52" s="3">
        <v>1</v>
      </c>
    </row>
    <row r="53" spans="1:6">
      <c r="A53" s="4" t="s">
        <v>78</v>
      </c>
      <c r="B53" s="4" t="s">
        <v>78</v>
      </c>
      <c r="C53" s="4" t="s">
        <v>330</v>
      </c>
      <c r="D53" s="4" t="s">
        <v>331</v>
      </c>
      <c r="E53" s="3">
        <v>2</v>
      </c>
      <c r="F53" s="3">
        <v>1</v>
      </c>
    </row>
    <row r="54" ht="20" customHeight="1" spans="1:6">
      <c r="A54" s="15" t="s">
        <v>332</v>
      </c>
      <c r="B54" s="16"/>
      <c r="C54" s="16"/>
      <c r="D54" s="16"/>
      <c r="E54" s="16"/>
      <c r="F54" s="18"/>
    </row>
    <row r="55" spans="1:6">
      <c r="A55" s="4" t="s">
        <v>78</v>
      </c>
      <c r="B55" s="4" t="s">
        <v>333</v>
      </c>
      <c r="C55" s="4" t="s">
        <v>334</v>
      </c>
      <c r="D55" s="4" t="s">
        <v>335</v>
      </c>
      <c r="E55" s="3">
        <v>3</v>
      </c>
      <c r="F55" s="3">
        <v>1</v>
      </c>
    </row>
    <row r="56" spans="1:6">
      <c r="A56" s="4" t="s">
        <v>78</v>
      </c>
      <c r="B56" s="4" t="s">
        <v>78</v>
      </c>
      <c r="C56" s="4" t="s">
        <v>336</v>
      </c>
      <c r="D56" s="4" t="s">
        <v>337</v>
      </c>
      <c r="E56" s="3">
        <v>5</v>
      </c>
      <c r="F56" s="3">
        <v>1</v>
      </c>
    </row>
    <row r="57" spans="1:6">
      <c r="A57" s="4" t="s">
        <v>78</v>
      </c>
      <c r="B57" s="4" t="s">
        <v>338</v>
      </c>
      <c r="C57" s="4" t="s">
        <v>339</v>
      </c>
      <c r="D57" s="4" t="s">
        <v>340</v>
      </c>
      <c r="E57" s="3">
        <v>3</v>
      </c>
      <c r="F57" s="3">
        <v>1</v>
      </c>
    </row>
    <row r="58" spans="1:6">
      <c r="A58" s="4" t="s">
        <v>78</v>
      </c>
      <c r="B58" s="4" t="s">
        <v>78</v>
      </c>
      <c r="C58" s="4" t="s">
        <v>341</v>
      </c>
      <c r="D58" s="4" t="s">
        <v>342</v>
      </c>
      <c r="E58" s="3">
        <v>1</v>
      </c>
      <c r="F58" s="3">
        <v>0.5</v>
      </c>
    </row>
    <row r="59" spans="1:6">
      <c r="A59" s="4" t="s">
        <v>78</v>
      </c>
      <c r="B59" s="4" t="s">
        <v>343</v>
      </c>
      <c r="C59" s="4" t="s">
        <v>344</v>
      </c>
      <c r="D59" s="4" t="s">
        <v>345</v>
      </c>
      <c r="E59" s="3">
        <v>1</v>
      </c>
      <c r="F59" s="3">
        <v>0.5</v>
      </c>
    </row>
    <row r="60" spans="1:6">
      <c r="A60" s="4" t="s">
        <v>78</v>
      </c>
      <c r="B60" s="4" t="s">
        <v>78</v>
      </c>
      <c r="C60" s="4" t="s">
        <v>346</v>
      </c>
      <c r="D60" s="4" t="s">
        <v>347</v>
      </c>
      <c r="E60" s="3">
        <v>1</v>
      </c>
      <c r="F60" s="3">
        <v>0.5</v>
      </c>
    </row>
    <row r="61" ht="20" customHeight="1" spans="1:6">
      <c r="A61" s="15" t="s">
        <v>348</v>
      </c>
      <c r="B61" s="16"/>
      <c r="C61" s="16"/>
      <c r="D61" s="16"/>
      <c r="E61" s="16"/>
      <c r="F61" s="18"/>
    </row>
    <row r="62" spans="1:6">
      <c r="A62" s="4" t="s">
        <v>78</v>
      </c>
      <c r="B62" s="4" t="s">
        <v>349</v>
      </c>
      <c r="C62" s="4" t="s">
        <v>350</v>
      </c>
      <c r="D62" s="4" t="s">
        <v>351</v>
      </c>
      <c r="E62" s="3">
        <v>2</v>
      </c>
      <c r="F62" s="3">
        <v>1</v>
      </c>
    </row>
    <row r="63" spans="1:6">
      <c r="A63" s="4" t="s">
        <v>78</v>
      </c>
      <c r="B63" s="4" t="s">
        <v>78</v>
      </c>
      <c r="C63" s="4" t="s">
        <v>352</v>
      </c>
      <c r="D63" s="4" t="s">
        <v>353</v>
      </c>
      <c r="E63" s="3">
        <v>1</v>
      </c>
      <c r="F63" s="3">
        <v>0.5</v>
      </c>
    </row>
    <row r="64" spans="1:6">
      <c r="A64" s="4" t="s">
        <v>78</v>
      </c>
      <c r="B64" s="4" t="s">
        <v>78</v>
      </c>
      <c r="C64" s="4" t="s">
        <v>309</v>
      </c>
      <c r="D64" s="4" t="s">
        <v>354</v>
      </c>
      <c r="E64" s="3">
        <v>3</v>
      </c>
      <c r="F64" s="3">
        <v>1</v>
      </c>
    </row>
    <row r="65" spans="1:6">
      <c r="A65" s="4" t="s">
        <v>78</v>
      </c>
      <c r="B65" s="4" t="s">
        <v>78</v>
      </c>
      <c r="C65" s="4" t="s">
        <v>355</v>
      </c>
      <c r="D65" s="4" t="s">
        <v>356</v>
      </c>
      <c r="E65" s="3">
        <v>3</v>
      </c>
      <c r="F65" s="3">
        <v>1</v>
      </c>
    </row>
    <row r="66" spans="1:6">
      <c r="A66" s="4" t="s">
        <v>78</v>
      </c>
      <c r="B66" s="4" t="s">
        <v>357</v>
      </c>
      <c r="C66" s="4" t="s">
        <v>358</v>
      </c>
      <c r="D66" s="4" t="s">
        <v>359</v>
      </c>
      <c r="E66" s="3">
        <v>3</v>
      </c>
      <c r="F66" s="3">
        <v>1</v>
      </c>
    </row>
    <row r="67" spans="1:6">
      <c r="A67" s="4" t="s">
        <v>78</v>
      </c>
      <c r="B67" s="4" t="s">
        <v>78</v>
      </c>
      <c r="C67" s="4" t="s">
        <v>360</v>
      </c>
      <c r="D67" s="4" t="s">
        <v>361</v>
      </c>
      <c r="E67" s="3">
        <v>1</v>
      </c>
      <c r="F67" s="3">
        <v>0.5</v>
      </c>
    </row>
    <row r="68" spans="5:6">
      <c r="E68" s="12">
        <f>SUM(E4:E67)</f>
        <v>119</v>
      </c>
      <c r="F68" s="12">
        <f>SUM(F4:F67)</f>
        <v>43.5</v>
      </c>
    </row>
  </sheetData>
  <mergeCells count="9">
    <mergeCell ref="A1:F1"/>
    <mergeCell ref="A3:F3"/>
    <mergeCell ref="A12:F12"/>
    <mergeCell ref="A19:F19"/>
    <mergeCell ref="A27:F27"/>
    <mergeCell ref="A37:F37"/>
    <mergeCell ref="A45:F45"/>
    <mergeCell ref="A54:F54"/>
    <mergeCell ref="A61:F6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D7" sqref="D7"/>
    </sheetView>
  </sheetViews>
  <sheetFormatPr defaultColWidth="9" defaultRowHeight="16.8" outlineLevelCol="4"/>
  <cols>
    <col min="1" max="1" width="15" customWidth="1"/>
    <col min="2" max="2" width="16.9903846153846" customWidth="1"/>
    <col min="3" max="3" width="18.4326923076923" customWidth="1"/>
    <col min="4" max="4" width="45" customWidth="1"/>
    <col min="5" max="5" width="12" customWidth="1"/>
  </cols>
  <sheetData>
    <row r="1" ht="30" customHeight="1" spans="1:1">
      <c r="A1" s="1" t="s">
        <v>362</v>
      </c>
    </row>
    <row r="2" ht="30" customHeight="1" spans="1:5">
      <c r="A2" s="2" t="s">
        <v>54</v>
      </c>
      <c r="B2" s="2" t="s">
        <v>55</v>
      </c>
      <c r="C2" s="2" t="s">
        <v>56</v>
      </c>
      <c r="D2" s="2" t="s">
        <v>57</v>
      </c>
      <c r="E2" s="2" t="s">
        <v>363</v>
      </c>
    </row>
    <row r="3" ht="28" spans="1:5">
      <c r="A3" s="5" t="s">
        <v>364</v>
      </c>
      <c r="B3" s="4" t="s">
        <v>365</v>
      </c>
      <c r="C3" s="4" t="s">
        <v>366</v>
      </c>
      <c r="D3" s="4" t="s">
        <v>367</v>
      </c>
      <c r="E3" s="3">
        <v>3</v>
      </c>
    </row>
    <row r="4" spans="1:5">
      <c r="A4" s="11"/>
      <c r="B4" s="4" t="s">
        <v>368</v>
      </c>
      <c r="C4" s="4" t="s">
        <v>369</v>
      </c>
      <c r="D4" s="4" t="s">
        <v>370</v>
      </c>
      <c r="E4" s="3">
        <v>5</v>
      </c>
    </row>
    <row r="5" spans="1:5">
      <c r="A5" s="11"/>
      <c r="B5" s="4" t="s">
        <v>371</v>
      </c>
      <c r="C5" s="4" t="s">
        <v>372</v>
      </c>
      <c r="D5" s="4" t="s">
        <v>373</v>
      </c>
      <c r="E5" s="3">
        <v>3</v>
      </c>
    </row>
    <row r="6" spans="1:5">
      <c r="A6" s="6"/>
      <c r="B6" s="4" t="s">
        <v>374</v>
      </c>
      <c r="C6" s="4" t="s">
        <v>375</v>
      </c>
      <c r="D6" s="4" t="s">
        <v>376</v>
      </c>
      <c r="E6" s="3">
        <v>3</v>
      </c>
    </row>
    <row r="7" spans="1:5">
      <c r="A7" s="5" t="s">
        <v>255</v>
      </c>
      <c r="B7" s="4" t="s">
        <v>256</v>
      </c>
      <c r="C7" s="4" t="s">
        <v>377</v>
      </c>
      <c r="D7" s="4" t="s">
        <v>378</v>
      </c>
      <c r="E7" s="3">
        <v>3</v>
      </c>
    </row>
    <row r="8" spans="1:5">
      <c r="A8" s="11"/>
      <c r="B8" s="4" t="s">
        <v>379</v>
      </c>
      <c r="C8" s="4" t="s">
        <v>380</v>
      </c>
      <c r="D8" s="4" t="s">
        <v>381</v>
      </c>
      <c r="E8" s="3">
        <v>3</v>
      </c>
    </row>
    <row r="9" spans="1:5">
      <c r="A9" s="6"/>
      <c r="B9" s="4" t="s">
        <v>382</v>
      </c>
      <c r="C9" s="4" t="s">
        <v>383</v>
      </c>
      <c r="D9" s="4" t="s">
        <v>384</v>
      </c>
      <c r="E9" s="3">
        <v>2</v>
      </c>
    </row>
    <row r="10" spans="1:5">
      <c r="A10" s="5" t="s">
        <v>385</v>
      </c>
      <c r="B10" s="4" t="s">
        <v>386</v>
      </c>
      <c r="C10" s="4" t="s">
        <v>387</v>
      </c>
      <c r="D10" s="4" t="s">
        <v>388</v>
      </c>
      <c r="E10" s="3">
        <v>2</v>
      </c>
    </row>
    <row r="11" spans="1:5">
      <c r="A11" s="6"/>
      <c r="B11" s="4" t="s">
        <v>389</v>
      </c>
      <c r="C11" s="4" t="s">
        <v>390</v>
      </c>
      <c r="D11" s="4" t="s">
        <v>391</v>
      </c>
      <c r="E11" s="3">
        <v>3</v>
      </c>
    </row>
    <row r="12" spans="1:5">
      <c r="A12" s="5" t="s">
        <v>392</v>
      </c>
      <c r="B12" s="4" t="s">
        <v>393</v>
      </c>
      <c r="C12" s="4" t="s">
        <v>394</v>
      </c>
      <c r="D12" s="4" t="s">
        <v>395</v>
      </c>
      <c r="E12" s="3">
        <v>4</v>
      </c>
    </row>
    <row r="13" spans="1:5">
      <c r="A13" s="11"/>
      <c r="B13" s="4" t="s">
        <v>396</v>
      </c>
      <c r="C13" s="4" t="s">
        <v>397</v>
      </c>
      <c r="D13" s="4" t="s">
        <v>398</v>
      </c>
      <c r="E13" s="3">
        <v>4</v>
      </c>
    </row>
    <row r="14" spans="1:5">
      <c r="A14" s="11"/>
      <c r="B14" s="4" t="s">
        <v>399</v>
      </c>
      <c r="C14" s="4" t="s">
        <v>400</v>
      </c>
      <c r="D14" s="4" t="s">
        <v>401</v>
      </c>
      <c r="E14" s="3">
        <v>6</v>
      </c>
    </row>
    <row r="15" spans="1:5">
      <c r="A15" s="11"/>
      <c r="B15" s="4" t="s">
        <v>402</v>
      </c>
      <c r="C15" s="4" t="s">
        <v>348</v>
      </c>
      <c r="D15" s="4" t="s">
        <v>403</v>
      </c>
      <c r="E15" s="3">
        <v>5</v>
      </c>
    </row>
    <row r="16" spans="1:5">
      <c r="A16" s="6"/>
      <c r="B16" s="4" t="s">
        <v>404</v>
      </c>
      <c r="C16" s="4" t="s">
        <v>405</v>
      </c>
      <c r="D16" s="4" t="s">
        <v>406</v>
      </c>
      <c r="E16" s="3">
        <v>2</v>
      </c>
    </row>
    <row r="17" spans="1:5">
      <c r="A17" s="5" t="s">
        <v>407</v>
      </c>
      <c r="B17" s="4" t="s">
        <v>408</v>
      </c>
      <c r="C17" s="4" t="s">
        <v>409</v>
      </c>
      <c r="D17" s="4" t="s">
        <v>410</v>
      </c>
      <c r="E17" s="3">
        <v>4</v>
      </c>
    </row>
    <row r="18" spans="1:5">
      <c r="A18" s="11"/>
      <c r="B18" s="4" t="s">
        <v>411</v>
      </c>
      <c r="C18" s="4" t="s">
        <v>412</v>
      </c>
      <c r="D18" s="4" t="s">
        <v>413</v>
      </c>
      <c r="E18" s="3">
        <v>12</v>
      </c>
    </row>
    <row r="19" spans="1:5">
      <c r="A19" s="6"/>
      <c r="B19" s="4" t="s">
        <v>414</v>
      </c>
      <c r="C19" s="4" t="s">
        <v>415</v>
      </c>
      <c r="D19" s="4" t="s">
        <v>416</v>
      </c>
      <c r="E19" s="3">
        <v>8</v>
      </c>
    </row>
    <row r="20" spans="1:5">
      <c r="A20" s="5" t="s">
        <v>417</v>
      </c>
      <c r="B20" s="4" t="s">
        <v>418</v>
      </c>
      <c r="C20" s="4" t="s">
        <v>419</v>
      </c>
      <c r="D20" s="4" t="s">
        <v>420</v>
      </c>
      <c r="E20" s="3">
        <v>2</v>
      </c>
    </row>
    <row r="21" spans="1:5">
      <c r="A21" s="6"/>
      <c r="B21" s="4" t="s">
        <v>421</v>
      </c>
      <c r="C21" s="4" t="s">
        <v>422</v>
      </c>
      <c r="D21" s="4" t="s">
        <v>423</v>
      </c>
      <c r="E21" s="3">
        <v>2</v>
      </c>
    </row>
    <row r="22" spans="1:5">
      <c r="A22" s="5" t="s">
        <v>424</v>
      </c>
      <c r="B22" s="4" t="s">
        <v>425</v>
      </c>
      <c r="C22" s="4" t="s">
        <v>426</v>
      </c>
      <c r="D22" s="4" t="s">
        <v>427</v>
      </c>
      <c r="E22" s="3">
        <v>2</v>
      </c>
    </row>
    <row r="23" spans="1:5">
      <c r="A23" s="6"/>
      <c r="B23" s="4" t="s">
        <v>428</v>
      </c>
      <c r="C23" s="4" t="s">
        <v>429</v>
      </c>
      <c r="D23" s="4" t="s">
        <v>430</v>
      </c>
      <c r="E23" s="3">
        <v>3</v>
      </c>
    </row>
    <row r="24" spans="5:5">
      <c r="E24" s="12">
        <f>SUM(E3:E23)</f>
        <v>81</v>
      </c>
    </row>
  </sheetData>
  <mergeCells count="8">
    <mergeCell ref="A1:E1"/>
    <mergeCell ref="A3:A6"/>
    <mergeCell ref="A7:A9"/>
    <mergeCell ref="A10:A11"/>
    <mergeCell ref="A12:A16"/>
    <mergeCell ref="A17:A19"/>
    <mergeCell ref="A20:A21"/>
    <mergeCell ref="A22:A2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A2" sqref="$A2:$XFD2"/>
    </sheetView>
  </sheetViews>
  <sheetFormatPr defaultColWidth="9" defaultRowHeight="16.8" outlineLevelCol="2"/>
  <cols>
    <col min="1" max="1" width="16.0192307692308" customWidth="1"/>
    <col min="2" max="2" width="18.9038461538462" customWidth="1"/>
    <col min="3" max="3" width="50" customWidth="1"/>
  </cols>
  <sheetData>
    <row r="1" ht="30" customHeight="1" spans="1:1">
      <c r="A1" s="1" t="s">
        <v>431</v>
      </c>
    </row>
    <row r="2" ht="17" spans="1:3">
      <c r="A2" s="2" t="s">
        <v>432</v>
      </c>
      <c r="B2" s="2" t="s">
        <v>433</v>
      </c>
      <c r="C2" s="2" t="s">
        <v>434</v>
      </c>
    </row>
    <row r="3" ht="28" spans="1:3">
      <c r="A3" s="5" t="s">
        <v>435</v>
      </c>
      <c r="B3" s="4" t="s">
        <v>436</v>
      </c>
      <c r="C3" s="4" t="s">
        <v>437</v>
      </c>
    </row>
    <row r="4" ht="28" spans="1:3">
      <c r="A4" s="11"/>
      <c r="B4" s="4" t="s">
        <v>438</v>
      </c>
      <c r="C4" s="4" t="s">
        <v>439</v>
      </c>
    </row>
    <row r="5" spans="1:3">
      <c r="A5" s="11"/>
      <c r="B5" s="4" t="s">
        <v>440</v>
      </c>
      <c r="C5" s="4" t="s">
        <v>441</v>
      </c>
    </row>
    <row r="6" spans="1:3">
      <c r="A6" s="6"/>
      <c r="B6" s="4" t="s">
        <v>442</v>
      </c>
      <c r="C6" s="4" t="s">
        <v>443</v>
      </c>
    </row>
    <row r="7" spans="1:3">
      <c r="A7" s="5" t="s">
        <v>444</v>
      </c>
      <c r="B7" s="4" t="s">
        <v>445</v>
      </c>
      <c r="C7" s="4" t="s">
        <v>446</v>
      </c>
    </row>
    <row r="8" spans="1:3">
      <c r="A8" s="11"/>
      <c r="B8" s="4" t="s">
        <v>447</v>
      </c>
      <c r="C8" s="4" t="s">
        <v>448</v>
      </c>
    </row>
    <row r="9" spans="1:3">
      <c r="A9" s="11"/>
      <c r="B9" s="4" t="s">
        <v>107</v>
      </c>
      <c r="C9" s="4" t="s">
        <v>449</v>
      </c>
    </row>
    <row r="10" spans="1:3">
      <c r="A10" s="11"/>
      <c r="B10" s="4" t="s">
        <v>450</v>
      </c>
      <c r="C10" s="4" t="s">
        <v>451</v>
      </c>
    </row>
    <row r="11" spans="1:3">
      <c r="A11" s="11"/>
      <c r="B11" s="4" t="s">
        <v>194</v>
      </c>
      <c r="C11" s="4" t="s">
        <v>452</v>
      </c>
    </row>
    <row r="12" spans="1:3">
      <c r="A12" s="11"/>
      <c r="B12" s="4" t="s">
        <v>171</v>
      </c>
      <c r="C12" s="4" t="s">
        <v>453</v>
      </c>
    </row>
    <row r="13" spans="1:3">
      <c r="A13" s="11"/>
      <c r="B13" s="4" t="s">
        <v>454</v>
      </c>
      <c r="C13" s="4" t="s">
        <v>455</v>
      </c>
    </row>
    <row r="14" spans="1:3">
      <c r="A14" s="6"/>
      <c r="B14" s="4" t="s">
        <v>456</v>
      </c>
      <c r="C14" s="4" t="s">
        <v>457</v>
      </c>
    </row>
    <row r="15" spans="1:3">
      <c r="A15" s="5" t="s">
        <v>458</v>
      </c>
      <c r="B15" s="4" t="s">
        <v>459</v>
      </c>
      <c r="C15" s="4" t="s">
        <v>460</v>
      </c>
    </row>
    <row r="16" spans="1:3">
      <c r="A16" s="11"/>
      <c r="B16" s="4" t="s">
        <v>461</v>
      </c>
      <c r="C16" s="4" t="s">
        <v>462</v>
      </c>
    </row>
    <row r="17" spans="1:3">
      <c r="A17" s="11"/>
      <c r="B17" s="4" t="s">
        <v>255</v>
      </c>
      <c r="C17" s="4" t="s">
        <v>463</v>
      </c>
    </row>
    <row r="18" spans="1:3">
      <c r="A18" s="11"/>
      <c r="B18" s="4" t="s">
        <v>271</v>
      </c>
      <c r="C18" s="4" t="s">
        <v>464</v>
      </c>
    </row>
    <row r="19" spans="1:3">
      <c r="A19" s="11"/>
      <c r="B19" s="4" t="s">
        <v>465</v>
      </c>
      <c r="C19" s="4" t="s">
        <v>466</v>
      </c>
    </row>
    <row r="20" spans="1:3">
      <c r="A20" s="6"/>
      <c r="B20" s="4" t="s">
        <v>456</v>
      </c>
      <c r="C20" s="4" t="s">
        <v>467</v>
      </c>
    </row>
    <row r="21" spans="1:3">
      <c r="A21" s="5" t="s">
        <v>468</v>
      </c>
      <c r="B21" s="4" t="s">
        <v>445</v>
      </c>
      <c r="C21" s="4" t="s">
        <v>469</v>
      </c>
    </row>
    <row r="22" spans="1:3">
      <c r="A22" s="11"/>
      <c r="B22" s="4" t="s">
        <v>470</v>
      </c>
      <c r="C22" s="4" t="s">
        <v>471</v>
      </c>
    </row>
    <row r="23" spans="1:3">
      <c r="A23" s="11"/>
      <c r="B23" s="4" t="s">
        <v>472</v>
      </c>
      <c r="C23" s="4" t="s">
        <v>473</v>
      </c>
    </row>
    <row r="24" spans="1:3">
      <c r="A24" s="6"/>
      <c r="B24" s="4" t="s">
        <v>474</v>
      </c>
      <c r="C24" s="4" t="s">
        <v>475</v>
      </c>
    </row>
    <row r="25" spans="1:3">
      <c r="A25" s="5" t="s">
        <v>476</v>
      </c>
      <c r="B25" s="4" t="s">
        <v>477</v>
      </c>
      <c r="C25" s="4" t="s">
        <v>478</v>
      </c>
    </row>
    <row r="26" spans="1:3">
      <c r="A26" s="11"/>
      <c r="B26" s="4" t="s">
        <v>479</v>
      </c>
      <c r="C26" s="4" t="s">
        <v>480</v>
      </c>
    </row>
    <row r="27" spans="1:3">
      <c r="A27" s="11"/>
      <c r="B27" s="4" t="s">
        <v>470</v>
      </c>
      <c r="C27" s="4" t="s">
        <v>481</v>
      </c>
    </row>
    <row r="28" spans="1:3">
      <c r="A28" s="11"/>
      <c r="B28" s="4" t="s">
        <v>482</v>
      </c>
      <c r="C28" s="4" t="s">
        <v>483</v>
      </c>
    </row>
    <row r="29" spans="1:3">
      <c r="A29" s="6"/>
      <c r="B29" s="4" t="s">
        <v>472</v>
      </c>
      <c r="C29" s="4" t="s">
        <v>484</v>
      </c>
    </row>
    <row r="30" spans="1:3">
      <c r="A30" s="5" t="s">
        <v>485</v>
      </c>
      <c r="B30" s="4" t="s">
        <v>486</v>
      </c>
      <c r="C30" s="4" t="s">
        <v>487</v>
      </c>
    </row>
    <row r="31" spans="1:3">
      <c r="A31" s="11"/>
      <c r="B31" s="4" t="s">
        <v>488</v>
      </c>
      <c r="C31" s="4" t="s">
        <v>489</v>
      </c>
    </row>
    <row r="32" spans="1:3">
      <c r="A32" s="6"/>
      <c r="B32" s="4" t="s">
        <v>490</v>
      </c>
      <c r="C32" s="4" t="s">
        <v>491</v>
      </c>
    </row>
  </sheetData>
  <mergeCells count="7">
    <mergeCell ref="A1:C1"/>
    <mergeCell ref="A3:A6"/>
    <mergeCell ref="A7:A14"/>
    <mergeCell ref="A15:A20"/>
    <mergeCell ref="A21:A24"/>
    <mergeCell ref="A25:A29"/>
    <mergeCell ref="A30:A3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A2" sqref="$A2:$XFD2"/>
    </sheetView>
  </sheetViews>
  <sheetFormatPr defaultColWidth="9" defaultRowHeight="16.8" outlineLevelCol="3"/>
  <cols>
    <col min="1" max="1" width="15.7019230769231" customWidth="1"/>
    <col min="2" max="2" width="25.1538461538462" customWidth="1"/>
    <col min="3" max="3" width="50" customWidth="1"/>
    <col min="4" max="4" width="12" customWidth="1"/>
  </cols>
  <sheetData>
    <row r="1" ht="30" customHeight="1" spans="1:1">
      <c r="A1" s="1" t="s">
        <v>492</v>
      </c>
    </row>
    <row r="2" ht="34" spans="1:4">
      <c r="A2" s="2" t="s">
        <v>493</v>
      </c>
      <c r="B2" s="2" t="s">
        <v>433</v>
      </c>
      <c r="C2" s="2" t="s">
        <v>434</v>
      </c>
      <c r="D2" s="2" t="s">
        <v>33</v>
      </c>
    </row>
    <row r="3" ht="28" spans="1:4">
      <c r="A3" s="5" t="s">
        <v>494</v>
      </c>
      <c r="B3" s="4" t="s">
        <v>495</v>
      </c>
      <c r="C3" s="4" t="s">
        <v>496</v>
      </c>
      <c r="D3" s="3">
        <v>3</v>
      </c>
    </row>
    <row r="4" ht="28" spans="1:4">
      <c r="A4" s="11"/>
      <c r="B4" s="4" t="s">
        <v>497</v>
      </c>
      <c r="C4" s="4" t="s">
        <v>498</v>
      </c>
      <c r="D4" s="3">
        <v>3</v>
      </c>
    </row>
    <row r="5" spans="1:4">
      <c r="A5" s="11"/>
      <c r="B5" s="4" t="s">
        <v>499</v>
      </c>
      <c r="C5" s="4" t="s">
        <v>500</v>
      </c>
      <c r="D5" s="3">
        <v>1</v>
      </c>
    </row>
    <row r="6" spans="1:4">
      <c r="A6" s="11"/>
      <c r="B6" s="4" t="s">
        <v>494</v>
      </c>
      <c r="C6" s="4"/>
      <c r="D6" s="3">
        <v>10</v>
      </c>
    </row>
    <row r="7" spans="1:4">
      <c r="A7" s="6"/>
      <c r="B7" s="4" t="s">
        <v>501</v>
      </c>
      <c r="C7" s="4" t="s">
        <v>502</v>
      </c>
      <c r="D7" s="3">
        <v>1</v>
      </c>
    </row>
    <row r="8" spans="1:4">
      <c r="A8" s="5" t="s">
        <v>503</v>
      </c>
      <c r="B8" s="4" t="s">
        <v>504</v>
      </c>
      <c r="C8" s="4" t="s">
        <v>505</v>
      </c>
      <c r="D8" s="3">
        <v>4</v>
      </c>
    </row>
    <row r="9" spans="1:4">
      <c r="A9" s="11"/>
      <c r="B9" s="4" t="s">
        <v>506</v>
      </c>
      <c r="C9" s="4" t="s">
        <v>507</v>
      </c>
      <c r="D9" s="3">
        <v>1</v>
      </c>
    </row>
    <row r="10" spans="1:4">
      <c r="A10" s="6"/>
      <c r="B10" s="4" t="s">
        <v>508</v>
      </c>
      <c r="C10" s="4" t="s">
        <v>509</v>
      </c>
      <c r="D10" s="3">
        <v>1</v>
      </c>
    </row>
    <row r="11" ht="28" spans="1:4">
      <c r="A11" s="5" t="s">
        <v>510</v>
      </c>
      <c r="B11" s="4" t="s">
        <v>511</v>
      </c>
      <c r="C11" s="4" t="s">
        <v>512</v>
      </c>
      <c r="D11" s="3">
        <v>3</v>
      </c>
    </row>
    <row r="12" spans="1:4">
      <c r="A12" s="11"/>
      <c r="B12" s="4" t="s">
        <v>513</v>
      </c>
      <c r="C12" s="4" t="s">
        <v>514</v>
      </c>
      <c r="D12" s="3">
        <v>5</v>
      </c>
    </row>
    <row r="13" spans="1:4">
      <c r="A13" s="11"/>
      <c r="B13" s="4" t="s">
        <v>515</v>
      </c>
      <c r="C13" s="4" t="s">
        <v>516</v>
      </c>
      <c r="D13" s="3">
        <v>1</v>
      </c>
    </row>
    <row r="14" spans="1:4">
      <c r="A14" s="6"/>
      <c r="B14" s="4" t="s">
        <v>517</v>
      </c>
      <c r="C14" s="4" t="s">
        <v>518</v>
      </c>
      <c r="D14" s="3">
        <v>1</v>
      </c>
    </row>
    <row r="15" spans="1:4">
      <c r="A15" s="5" t="s">
        <v>519</v>
      </c>
      <c r="B15" s="4" t="s">
        <v>520</v>
      </c>
      <c r="C15" s="4" t="s">
        <v>521</v>
      </c>
      <c r="D15" s="3">
        <v>2</v>
      </c>
    </row>
    <row r="16" spans="1:4">
      <c r="A16" s="11"/>
      <c r="B16" s="4" t="s">
        <v>522</v>
      </c>
      <c r="C16" s="4" t="s">
        <v>523</v>
      </c>
      <c r="D16" s="3">
        <v>1</v>
      </c>
    </row>
    <row r="17" spans="1:4">
      <c r="A17" s="6"/>
      <c r="B17" s="4" t="s">
        <v>524</v>
      </c>
      <c r="C17" s="4" t="s">
        <v>525</v>
      </c>
      <c r="D17" s="3">
        <v>1</v>
      </c>
    </row>
    <row r="18" spans="1:4">
      <c r="A18" s="3" t="s">
        <v>526</v>
      </c>
      <c r="B18" s="4" t="s">
        <v>527</v>
      </c>
      <c r="C18" s="4" t="s">
        <v>528</v>
      </c>
      <c r="D18" s="3">
        <v>2</v>
      </c>
    </row>
  </sheetData>
  <mergeCells count="5">
    <mergeCell ref="A1:D1"/>
    <mergeCell ref="A3:A7"/>
    <mergeCell ref="A8:A10"/>
    <mergeCell ref="A11:A14"/>
    <mergeCell ref="A15:A1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2" sqref="$A2:$XFD2"/>
    </sheetView>
  </sheetViews>
  <sheetFormatPr defaultColWidth="9" defaultRowHeight="16.8" outlineLevelCol="2"/>
  <cols>
    <col min="1" max="1" width="20" customWidth="1"/>
    <col min="2" max="2" width="28.2019230769231" customWidth="1"/>
    <col min="3" max="3" width="50" customWidth="1"/>
  </cols>
  <sheetData>
    <row r="1" ht="30" customHeight="1" spans="1:1">
      <c r="A1" s="1" t="s">
        <v>529</v>
      </c>
    </row>
    <row r="2" ht="17" spans="1:3">
      <c r="A2" s="2" t="s">
        <v>530</v>
      </c>
      <c r="B2" s="2" t="s">
        <v>433</v>
      </c>
      <c r="C2" s="2" t="s">
        <v>531</v>
      </c>
    </row>
    <row r="3" ht="28" spans="1:3">
      <c r="A3" s="5" t="s">
        <v>532</v>
      </c>
      <c r="B3" s="4" t="s">
        <v>533</v>
      </c>
      <c r="C3" s="4" t="s">
        <v>534</v>
      </c>
    </row>
    <row r="4" spans="1:3">
      <c r="A4" s="6"/>
      <c r="B4" s="4" t="s">
        <v>535</v>
      </c>
      <c r="C4" s="4" t="s">
        <v>536</v>
      </c>
    </row>
    <row r="5" spans="1:3">
      <c r="A5" s="11" t="s">
        <v>537</v>
      </c>
      <c r="B5" s="4" t="s">
        <v>538</v>
      </c>
      <c r="C5" s="4" t="s">
        <v>539</v>
      </c>
    </row>
    <row r="6" spans="1:3">
      <c r="A6" s="6"/>
      <c r="B6" s="4" t="s">
        <v>540</v>
      </c>
      <c r="C6" s="4" t="s">
        <v>541</v>
      </c>
    </row>
    <row r="7" spans="1:3">
      <c r="A7" s="5" t="s">
        <v>542</v>
      </c>
      <c r="B7" s="4" t="s">
        <v>543</v>
      </c>
      <c r="C7" s="4" t="s">
        <v>544</v>
      </c>
    </row>
    <row r="8" spans="1:3">
      <c r="A8" s="11"/>
      <c r="B8" s="4" t="s">
        <v>545</v>
      </c>
      <c r="C8" s="4" t="s">
        <v>546</v>
      </c>
    </row>
    <row r="9" ht="28" spans="1:3">
      <c r="A9" s="11"/>
      <c r="B9" s="4" t="s">
        <v>547</v>
      </c>
      <c r="C9" s="4" t="s">
        <v>548</v>
      </c>
    </row>
    <row r="10" spans="1:3">
      <c r="A10" s="6"/>
      <c r="B10" s="4" t="s">
        <v>549</v>
      </c>
      <c r="C10" s="4" t="s">
        <v>550</v>
      </c>
    </row>
    <row r="11" ht="28" spans="1:3">
      <c r="A11" s="5" t="s">
        <v>551</v>
      </c>
      <c r="B11" s="4" t="s">
        <v>552</v>
      </c>
      <c r="C11" s="4" t="s">
        <v>553</v>
      </c>
    </row>
    <row r="12" ht="28" spans="1:3">
      <c r="A12" s="11"/>
      <c r="B12" s="4" t="s">
        <v>554</v>
      </c>
      <c r="C12" s="4" t="s">
        <v>555</v>
      </c>
    </row>
    <row r="13" spans="1:3">
      <c r="A13" s="6"/>
      <c r="B13" s="4" t="s">
        <v>556</v>
      </c>
      <c r="C13" s="4" t="s">
        <v>557</v>
      </c>
    </row>
    <row r="14" spans="1:3">
      <c r="A14" s="5" t="s">
        <v>558</v>
      </c>
      <c r="B14" s="4" t="s">
        <v>559</v>
      </c>
      <c r="C14" s="4" t="s">
        <v>560</v>
      </c>
    </row>
    <row r="15" spans="1:3">
      <c r="A15" s="11"/>
      <c r="B15" s="4" t="s">
        <v>561</v>
      </c>
      <c r="C15" s="4" t="s">
        <v>562</v>
      </c>
    </row>
    <row r="16" spans="1:3">
      <c r="A16" s="5" t="s">
        <v>563</v>
      </c>
      <c r="B16" s="4" t="s">
        <v>564</v>
      </c>
      <c r="C16" s="4" t="s">
        <v>565</v>
      </c>
    </row>
    <row r="17" spans="1:3">
      <c r="A17" s="11"/>
      <c r="B17" s="4" t="s">
        <v>566</v>
      </c>
      <c r="C17" s="4" t="s">
        <v>567</v>
      </c>
    </row>
    <row r="18" spans="1:3">
      <c r="A18" s="6"/>
      <c r="B18" s="4" t="s">
        <v>568</v>
      </c>
      <c r="C18" s="4" t="s">
        <v>569</v>
      </c>
    </row>
    <row r="19" spans="1:3">
      <c r="A19" s="6" t="s">
        <v>570</v>
      </c>
      <c r="B19" s="4" t="s">
        <v>571</v>
      </c>
      <c r="C19" s="4" t="s">
        <v>572</v>
      </c>
    </row>
    <row r="20" spans="1:3">
      <c r="A20" s="5" t="s">
        <v>573</v>
      </c>
      <c r="B20" s="4" t="s">
        <v>574</v>
      </c>
      <c r="C20" s="4" t="s">
        <v>575</v>
      </c>
    </row>
    <row r="21" spans="1:3">
      <c r="A21" s="11"/>
      <c r="B21" s="4" t="s">
        <v>576</v>
      </c>
      <c r="C21" s="4" t="s">
        <v>577</v>
      </c>
    </row>
    <row r="22" spans="1:3">
      <c r="A22" s="6"/>
      <c r="B22" s="4" t="s">
        <v>578</v>
      </c>
      <c r="C22" s="4" t="s">
        <v>579</v>
      </c>
    </row>
  </sheetData>
  <mergeCells count="8">
    <mergeCell ref="A1:C1"/>
    <mergeCell ref="A3:A4"/>
    <mergeCell ref="A5:A6"/>
    <mergeCell ref="A7:A10"/>
    <mergeCell ref="A11:A13"/>
    <mergeCell ref="A14:A15"/>
    <mergeCell ref="A16:A18"/>
    <mergeCell ref="A20:A2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E18" sqref="E18"/>
    </sheetView>
  </sheetViews>
  <sheetFormatPr defaultColWidth="9" defaultRowHeight="16.8" outlineLevelCol="2"/>
  <cols>
    <col min="1" max="1" width="14.4230769230769" customWidth="1"/>
    <col min="2" max="2" width="18.4230769230769" customWidth="1"/>
    <col min="3" max="3" width="45" customWidth="1"/>
  </cols>
  <sheetData>
    <row r="1" ht="30" customHeight="1" spans="1:1">
      <c r="A1" s="1" t="s">
        <v>580</v>
      </c>
    </row>
    <row r="2" ht="17" spans="1:3">
      <c r="A2" s="2" t="s">
        <v>32</v>
      </c>
      <c r="B2" s="2" t="s">
        <v>581</v>
      </c>
      <c r="C2" s="2" t="s">
        <v>582</v>
      </c>
    </row>
    <row r="3" ht="28" spans="1:3">
      <c r="A3" s="5" t="s">
        <v>583</v>
      </c>
      <c r="B3" s="4" t="s">
        <v>584</v>
      </c>
      <c r="C3" s="4" t="s">
        <v>585</v>
      </c>
    </row>
    <row r="4" spans="1:3">
      <c r="A4" s="11"/>
      <c r="B4" s="4" t="s">
        <v>586</v>
      </c>
      <c r="C4" s="4" t="s">
        <v>587</v>
      </c>
    </row>
    <row r="5" spans="1:3">
      <c r="A5" s="6"/>
      <c r="B5" s="4" t="s">
        <v>588</v>
      </c>
      <c r="C5" s="4" t="s">
        <v>589</v>
      </c>
    </row>
    <row r="6" spans="1:3">
      <c r="A6" s="5" t="s">
        <v>590</v>
      </c>
      <c r="B6" s="4" t="s">
        <v>591</v>
      </c>
      <c r="C6" s="4" t="s">
        <v>592</v>
      </c>
    </row>
    <row r="7" spans="1:3">
      <c r="A7" s="11"/>
      <c r="B7" s="4" t="s">
        <v>593</v>
      </c>
      <c r="C7" s="4" t="s">
        <v>594</v>
      </c>
    </row>
    <row r="8" spans="1:3">
      <c r="A8" s="11"/>
      <c r="B8" s="4" t="s">
        <v>595</v>
      </c>
      <c r="C8" s="4" t="s">
        <v>596</v>
      </c>
    </row>
    <row r="9" spans="1:3">
      <c r="A9" s="6"/>
      <c r="B9" s="4" t="s">
        <v>597</v>
      </c>
      <c r="C9" s="4" t="s">
        <v>598</v>
      </c>
    </row>
    <row r="10" spans="1:3">
      <c r="A10" s="5" t="s">
        <v>599</v>
      </c>
      <c r="B10" s="4" t="s">
        <v>600</v>
      </c>
      <c r="C10" s="4" t="s">
        <v>601</v>
      </c>
    </row>
    <row r="11" spans="1:3">
      <c r="A11" s="6"/>
      <c r="B11" s="4" t="s">
        <v>602</v>
      </c>
      <c r="C11" s="4" t="s">
        <v>603</v>
      </c>
    </row>
    <row r="12" spans="1:3">
      <c r="A12" s="5" t="s">
        <v>604</v>
      </c>
      <c r="B12" s="4" t="s">
        <v>159</v>
      </c>
      <c r="C12" s="4" t="s">
        <v>605</v>
      </c>
    </row>
    <row r="13" spans="1:3">
      <c r="A13" s="11"/>
      <c r="B13" s="4" t="s">
        <v>606</v>
      </c>
      <c r="C13" s="4" t="s">
        <v>607</v>
      </c>
    </row>
    <row r="14" spans="1:3">
      <c r="A14" s="6"/>
      <c r="B14" s="4" t="s">
        <v>608</v>
      </c>
      <c r="C14" s="4" t="s">
        <v>609</v>
      </c>
    </row>
    <row r="15" spans="1:3">
      <c r="A15" s="5" t="s">
        <v>610</v>
      </c>
      <c r="B15" s="4" t="s">
        <v>611</v>
      </c>
      <c r="C15" s="4" t="s">
        <v>612</v>
      </c>
    </row>
    <row r="16" spans="1:3">
      <c r="A16" s="11"/>
      <c r="B16" s="4" t="s">
        <v>613</v>
      </c>
      <c r="C16" s="4" t="s">
        <v>614</v>
      </c>
    </row>
    <row r="17" spans="1:3">
      <c r="A17" s="6"/>
      <c r="B17" s="4" t="s">
        <v>149</v>
      </c>
      <c r="C17" s="4" t="s">
        <v>615</v>
      </c>
    </row>
    <row r="18" spans="1:3">
      <c r="A18" s="5" t="s">
        <v>616</v>
      </c>
      <c r="B18" s="4" t="s">
        <v>240</v>
      </c>
      <c r="C18" s="4" t="s">
        <v>617</v>
      </c>
    </row>
    <row r="19" spans="1:3">
      <c r="A19" s="11"/>
      <c r="B19" s="4" t="s">
        <v>382</v>
      </c>
      <c r="C19" s="4" t="s">
        <v>618</v>
      </c>
    </row>
    <row r="20" spans="1:3">
      <c r="A20" s="11"/>
      <c r="B20" s="4" t="s">
        <v>338</v>
      </c>
      <c r="C20" s="4" t="s">
        <v>619</v>
      </c>
    </row>
    <row r="21" spans="1:3">
      <c r="A21" s="6"/>
      <c r="B21" s="4" t="s">
        <v>348</v>
      </c>
      <c r="C21" s="4" t="s">
        <v>620</v>
      </c>
    </row>
    <row r="22" spans="1:3">
      <c r="A22" s="5" t="s">
        <v>311</v>
      </c>
      <c r="B22" s="4" t="s">
        <v>312</v>
      </c>
      <c r="C22" s="4" t="s">
        <v>621</v>
      </c>
    </row>
    <row r="23" spans="1:3">
      <c r="A23" s="6"/>
      <c r="B23" s="4" t="s">
        <v>622</v>
      </c>
      <c r="C23" s="4" t="s">
        <v>623</v>
      </c>
    </row>
    <row r="24" spans="1:3">
      <c r="A24" s="5" t="s">
        <v>624</v>
      </c>
      <c r="B24" s="4" t="s">
        <v>389</v>
      </c>
      <c r="C24" s="4" t="s">
        <v>625</v>
      </c>
    </row>
    <row r="25" spans="1:3">
      <c r="A25" s="6"/>
      <c r="B25" s="4" t="s">
        <v>386</v>
      </c>
      <c r="C25" s="4" t="s">
        <v>626</v>
      </c>
    </row>
    <row r="26" spans="1:3">
      <c r="A26" s="5" t="s">
        <v>627</v>
      </c>
      <c r="B26" s="4" t="s">
        <v>628</v>
      </c>
      <c r="C26" s="4" t="s">
        <v>629</v>
      </c>
    </row>
    <row r="27" spans="1:3">
      <c r="A27" s="6"/>
      <c r="B27" s="4" t="s">
        <v>630</v>
      </c>
      <c r="C27" s="4" t="s">
        <v>631</v>
      </c>
    </row>
    <row r="28" spans="1:3">
      <c r="A28" s="5" t="s">
        <v>632</v>
      </c>
      <c r="B28" s="4" t="s">
        <v>633</v>
      </c>
      <c r="C28" s="4" t="s">
        <v>634</v>
      </c>
    </row>
    <row r="29" spans="1:3">
      <c r="A29" s="6"/>
      <c r="B29" s="4" t="s">
        <v>635</v>
      </c>
      <c r="C29" s="4" t="s">
        <v>636</v>
      </c>
    </row>
    <row r="30" spans="1:3">
      <c r="A30" s="5" t="s">
        <v>637</v>
      </c>
      <c r="B30" s="4" t="s">
        <v>638</v>
      </c>
      <c r="C30" s="4" t="s">
        <v>639</v>
      </c>
    </row>
    <row r="31" spans="1:3">
      <c r="A31" s="6"/>
      <c r="B31" s="4" t="s">
        <v>640</v>
      </c>
      <c r="C31" s="4" t="s">
        <v>641</v>
      </c>
    </row>
  </sheetData>
  <mergeCells count="12">
    <mergeCell ref="A1:C1"/>
    <mergeCell ref="A3:A5"/>
    <mergeCell ref="A6:A9"/>
    <mergeCell ref="A10:A11"/>
    <mergeCell ref="A12:A14"/>
    <mergeCell ref="A15:A17"/>
    <mergeCell ref="A18:A21"/>
    <mergeCell ref="A22:A23"/>
    <mergeCell ref="A24:A25"/>
    <mergeCell ref="A26:A27"/>
    <mergeCell ref="A28:A29"/>
    <mergeCell ref="A30:A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C15" sqref="C15"/>
    </sheetView>
  </sheetViews>
  <sheetFormatPr defaultColWidth="9" defaultRowHeight="16.8" outlineLevelCol="2"/>
  <cols>
    <col min="1" max="1" width="16.6634615384615" customWidth="1"/>
    <col min="2" max="2" width="65" customWidth="1"/>
    <col min="3" max="3" width="12" customWidth="1"/>
  </cols>
  <sheetData>
    <row r="1" ht="30" customHeight="1" spans="1:1">
      <c r="A1" s="1" t="s">
        <v>642</v>
      </c>
    </row>
    <row r="3" spans="1:1">
      <c r="A3" s="7" t="s">
        <v>643</v>
      </c>
    </row>
    <row r="4" ht="17" spans="1:3">
      <c r="A4" s="2" t="s">
        <v>644</v>
      </c>
      <c r="B4" s="2" t="s">
        <v>645</v>
      </c>
      <c r="C4" s="2" t="s">
        <v>646</v>
      </c>
    </row>
    <row r="5" spans="1:3">
      <c r="A5" s="8" t="s">
        <v>647</v>
      </c>
      <c r="B5" s="8" t="s">
        <v>648</v>
      </c>
      <c r="C5" s="9" t="s">
        <v>649</v>
      </c>
    </row>
    <row r="6" spans="1:3">
      <c r="A6" s="8" t="s">
        <v>650</v>
      </c>
      <c r="B6" s="8" t="s">
        <v>651</v>
      </c>
      <c r="C6" s="9" t="s">
        <v>649</v>
      </c>
    </row>
    <row r="7" spans="1:3">
      <c r="A7" s="8" t="s">
        <v>652</v>
      </c>
      <c r="B7" s="8" t="s">
        <v>653</v>
      </c>
      <c r="C7" s="9" t="s">
        <v>649</v>
      </c>
    </row>
    <row r="8" spans="1:3">
      <c r="A8" s="8" t="s">
        <v>654</v>
      </c>
      <c r="B8" s="8" t="s">
        <v>655</v>
      </c>
      <c r="C8" s="9" t="s">
        <v>649</v>
      </c>
    </row>
    <row r="9" spans="1:3">
      <c r="A9" s="8" t="s">
        <v>656</v>
      </c>
      <c r="B9" s="8" t="s">
        <v>657</v>
      </c>
      <c r="C9" s="9" t="s">
        <v>649</v>
      </c>
    </row>
    <row r="10" spans="1:3">
      <c r="A10" s="8" t="s">
        <v>658</v>
      </c>
      <c r="B10" s="8" t="s">
        <v>659</v>
      </c>
      <c r="C10" s="9" t="s">
        <v>649</v>
      </c>
    </row>
    <row r="13" spans="1:1">
      <c r="A13" s="10" t="s">
        <v>660</v>
      </c>
    </row>
    <row r="14" ht="17" spans="1:3">
      <c r="A14" s="2" t="s">
        <v>661</v>
      </c>
      <c r="B14" s="2" t="s">
        <v>645</v>
      </c>
      <c r="C14" s="2" t="s">
        <v>646</v>
      </c>
    </row>
    <row r="15" spans="1:3">
      <c r="A15" s="8" t="s">
        <v>662</v>
      </c>
      <c r="B15" s="8" t="s">
        <v>663</v>
      </c>
      <c r="C15" s="9" t="s">
        <v>664</v>
      </c>
    </row>
    <row r="16" spans="1:3">
      <c r="A16" s="8" t="s">
        <v>665</v>
      </c>
      <c r="B16" s="8" t="s">
        <v>666</v>
      </c>
      <c r="C16" s="9" t="s">
        <v>667</v>
      </c>
    </row>
    <row r="17" ht="31" spans="1:3">
      <c r="A17" s="8" t="s">
        <v>668</v>
      </c>
      <c r="B17" s="8" t="s">
        <v>669</v>
      </c>
      <c r="C17" s="9" t="s">
        <v>670</v>
      </c>
    </row>
    <row r="18" spans="1:3">
      <c r="A18" s="8" t="s">
        <v>671</v>
      </c>
      <c r="B18" s="8" t="s">
        <v>672</v>
      </c>
      <c r="C18" s="9" t="s">
        <v>673</v>
      </c>
    </row>
    <row r="19" ht="31" spans="1:3">
      <c r="A19" s="8" t="s">
        <v>674</v>
      </c>
      <c r="B19" s="8" t="s">
        <v>675</v>
      </c>
      <c r="C19" s="9" t="s">
        <v>676</v>
      </c>
    </row>
    <row r="20" ht="31" spans="1:3">
      <c r="A20" s="8" t="s">
        <v>677</v>
      </c>
      <c r="B20" s="8" t="s">
        <v>678</v>
      </c>
      <c r="C20" s="9" t="s">
        <v>679</v>
      </c>
    </row>
    <row r="21" ht="31" spans="1:3">
      <c r="A21" s="8" t="s">
        <v>680</v>
      </c>
      <c r="B21" s="8" t="s">
        <v>681</v>
      </c>
      <c r="C21" s="9" t="s">
        <v>682</v>
      </c>
    </row>
    <row r="22" ht="31" spans="1:3">
      <c r="A22" s="8" t="s">
        <v>683</v>
      </c>
      <c r="B22" s="8" t="s">
        <v>684</v>
      </c>
      <c r="C22" s="9" t="s">
        <v>685</v>
      </c>
    </row>
  </sheetData>
  <mergeCells count="3">
    <mergeCell ref="A1:C1"/>
    <mergeCell ref="A3:C3"/>
    <mergeCell ref="A13:C1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C11" sqref="C11"/>
    </sheetView>
  </sheetViews>
  <sheetFormatPr defaultColWidth="9" defaultRowHeight="16.8" outlineLevelCol="4"/>
  <cols>
    <col min="1" max="1" width="12" customWidth="1"/>
    <col min="2" max="2" width="14.9038461538462" customWidth="1"/>
    <col min="3" max="3" width="40.8557692307692" customWidth="1"/>
    <col min="4" max="5" width="12" customWidth="1"/>
  </cols>
  <sheetData>
    <row r="1" ht="30" customHeight="1" spans="1:1">
      <c r="A1" s="1" t="s">
        <v>686</v>
      </c>
    </row>
    <row r="2" ht="17" spans="1:5">
      <c r="A2" s="2" t="s">
        <v>687</v>
      </c>
      <c r="B2" s="2" t="s">
        <v>688</v>
      </c>
      <c r="C2" s="2" t="s">
        <v>689</v>
      </c>
      <c r="D2" s="2" t="s">
        <v>690</v>
      </c>
      <c r="E2" s="2" t="s">
        <v>691</v>
      </c>
    </row>
    <row r="3" ht="28" spans="1:5">
      <c r="A3" s="3" t="s">
        <v>692</v>
      </c>
      <c r="B3" s="4" t="s">
        <v>693</v>
      </c>
      <c r="C3" s="4" t="s">
        <v>694</v>
      </c>
      <c r="D3" s="3">
        <v>1</v>
      </c>
      <c r="E3" s="4" t="s">
        <v>695</v>
      </c>
    </row>
    <row r="4" ht="41" spans="1:5">
      <c r="A4" s="3" t="s">
        <v>696</v>
      </c>
      <c r="B4" s="4" t="s">
        <v>697</v>
      </c>
      <c r="C4" s="4" t="s">
        <v>698</v>
      </c>
      <c r="D4" s="3">
        <v>1</v>
      </c>
      <c r="E4" s="4" t="s">
        <v>699</v>
      </c>
    </row>
    <row r="5" ht="28" spans="1:5">
      <c r="A5" s="3" t="s">
        <v>700</v>
      </c>
      <c r="B5" s="4" t="s">
        <v>701</v>
      </c>
      <c r="C5" s="4" t="s">
        <v>702</v>
      </c>
      <c r="D5" s="3">
        <v>2</v>
      </c>
      <c r="E5" s="4" t="s">
        <v>703</v>
      </c>
    </row>
    <row r="6" spans="1:5">
      <c r="A6" s="3" t="s">
        <v>704</v>
      </c>
      <c r="B6" s="4" t="s">
        <v>705</v>
      </c>
      <c r="C6" s="4" t="s">
        <v>706</v>
      </c>
      <c r="D6" s="3">
        <v>2</v>
      </c>
      <c r="E6" s="4" t="s">
        <v>707</v>
      </c>
    </row>
    <row r="7" spans="1:5">
      <c r="A7" s="3" t="s">
        <v>708</v>
      </c>
      <c r="B7" s="4" t="s">
        <v>709</v>
      </c>
      <c r="C7" s="4" t="s">
        <v>710</v>
      </c>
      <c r="D7" s="3">
        <v>2</v>
      </c>
      <c r="E7" s="4" t="s">
        <v>711</v>
      </c>
    </row>
    <row r="8" spans="1:5">
      <c r="A8" s="3" t="s">
        <v>712</v>
      </c>
      <c r="B8" s="4" t="s">
        <v>713</v>
      </c>
      <c r="C8" s="4" t="s">
        <v>714</v>
      </c>
      <c r="D8" s="3">
        <v>1</v>
      </c>
      <c r="E8" s="4" t="s">
        <v>715</v>
      </c>
    </row>
    <row r="9" ht="28" spans="1:5">
      <c r="A9" s="3" t="s">
        <v>704</v>
      </c>
      <c r="B9" s="4" t="s">
        <v>716</v>
      </c>
      <c r="C9" s="4" t="s">
        <v>717</v>
      </c>
      <c r="D9" s="3">
        <v>2</v>
      </c>
      <c r="E9" s="4" t="s">
        <v>718</v>
      </c>
    </row>
    <row r="10" spans="1:5">
      <c r="A10" s="3" t="s">
        <v>708</v>
      </c>
      <c r="B10" s="4" t="s">
        <v>719</v>
      </c>
      <c r="C10" s="4" t="s">
        <v>720</v>
      </c>
      <c r="D10" s="3">
        <v>2</v>
      </c>
      <c r="E10" s="4" t="s">
        <v>721</v>
      </c>
    </row>
    <row r="11" spans="1:5">
      <c r="A11" s="3" t="s">
        <v>712</v>
      </c>
      <c r="B11" s="4" t="s">
        <v>722</v>
      </c>
      <c r="C11" s="4" t="s">
        <v>723</v>
      </c>
      <c r="D11" s="3">
        <v>1</v>
      </c>
      <c r="E11" s="4" t="s">
        <v>724</v>
      </c>
    </row>
    <row r="12" spans="1:5">
      <c r="A12" s="3" t="s">
        <v>725</v>
      </c>
      <c r="B12" s="4" t="s">
        <v>726</v>
      </c>
      <c r="C12" s="4" t="s">
        <v>727</v>
      </c>
      <c r="D12" s="3">
        <v>2</v>
      </c>
      <c r="E12" s="4" t="s">
        <v>728</v>
      </c>
    </row>
    <row r="13" spans="1:5">
      <c r="A13" s="3" t="s">
        <v>729</v>
      </c>
      <c r="B13" s="4" t="s">
        <v>730</v>
      </c>
      <c r="C13" s="4" t="s">
        <v>731</v>
      </c>
      <c r="D13" s="3">
        <v>2</v>
      </c>
      <c r="E13" s="4" t="s">
        <v>732</v>
      </c>
    </row>
    <row r="14" spans="1:5">
      <c r="A14" s="3" t="s">
        <v>733</v>
      </c>
      <c r="B14" s="4" t="s">
        <v>734</v>
      </c>
      <c r="C14" s="4" t="s">
        <v>735</v>
      </c>
      <c r="D14" s="3">
        <v>1</v>
      </c>
      <c r="E14" s="4" t="s">
        <v>736</v>
      </c>
    </row>
    <row r="15" spans="1:5">
      <c r="A15" s="3" t="s">
        <v>737</v>
      </c>
      <c r="B15" s="4" t="s">
        <v>494</v>
      </c>
      <c r="C15" s="4" t="s">
        <v>738</v>
      </c>
      <c r="D15" s="3">
        <v>2</v>
      </c>
      <c r="E15" s="4" t="s">
        <v>739</v>
      </c>
    </row>
    <row r="16" spans="1:5">
      <c r="A16" s="3" t="s">
        <v>740</v>
      </c>
      <c r="B16" s="4" t="s">
        <v>741</v>
      </c>
      <c r="C16" s="4" t="s">
        <v>742</v>
      </c>
      <c r="D16" s="5">
        <v>1</v>
      </c>
      <c r="E16" s="4" t="s">
        <v>517</v>
      </c>
    </row>
    <row r="17" spans="1:5">
      <c r="A17" s="3" t="s">
        <v>743</v>
      </c>
      <c r="B17" s="4" t="s">
        <v>519</v>
      </c>
      <c r="C17" s="4" t="s">
        <v>744</v>
      </c>
      <c r="D17" s="6"/>
      <c r="E17" s="4" t="s">
        <v>524</v>
      </c>
    </row>
    <row r="18" spans="1:5">
      <c r="A18" s="3" t="s">
        <v>745</v>
      </c>
      <c r="B18" s="4" t="s">
        <v>746</v>
      </c>
      <c r="C18" s="4" t="s">
        <v>747</v>
      </c>
      <c r="D18" s="5">
        <v>1</v>
      </c>
      <c r="E18" s="4" t="s">
        <v>748</v>
      </c>
    </row>
    <row r="19" spans="1:5">
      <c r="A19" s="3" t="s">
        <v>749</v>
      </c>
      <c r="B19" s="4" t="s">
        <v>750</v>
      </c>
      <c r="C19" s="4" t="s">
        <v>751</v>
      </c>
      <c r="D19" s="6"/>
      <c r="E19" s="4" t="s">
        <v>752</v>
      </c>
    </row>
    <row r="20" ht="28" spans="1:5">
      <c r="A20" s="3" t="s">
        <v>753</v>
      </c>
      <c r="B20" s="4" t="s">
        <v>754</v>
      </c>
      <c r="C20" s="4" t="s">
        <v>755</v>
      </c>
      <c r="D20" s="3">
        <v>1</v>
      </c>
      <c r="E20" s="4" t="s">
        <v>756</v>
      </c>
    </row>
  </sheetData>
  <mergeCells count="3">
    <mergeCell ref="A1:E1"/>
    <mergeCell ref="D16:D17"/>
    <mergeCell ref="D18:D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1.项目总览</vt:lpstr>
      <vt:lpstr>2.C端功能明细</vt:lpstr>
      <vt:lpstr>3.B端功能明细</vt:lpstr>
      <vt:lpstr>4.后台功能明细</vt:lpstr>
      <vt:lpstr>5.UI设计交付物</vt:lpstr>
      <vt:lpstr>6.测试交付物</vt:lpstr>
      <vt:lpstr>7.文档交付物</vt:lpstr>
      <vt:lpstr>8.服务端API明细</vt:lpstr>
      <vt:lpstr>9.运维技术支持</vt:lpstr>
      <vt:lpstr>10.项目实施计划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辣条学长</cp:lastModifiedBy>
  <dcterms:created xsi:type="dcterms:W3CDTF">2026-01-14T06:54:00Z</dcterms:created>
  <dcterms:modified xsi:type="dcterms:W3CDTF">2026-01-27T23:02:44Z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8DB4E2541D591657279B69696C6AD319_43</vt:lpwstr>
  </property>
  <property fmtid="{D5CDD505-2E9C-101B-9397-08002B2CF9AE}" pid="3" name="KSOProductBuildVer">
    <vt:lpwstr>2052-12.1.22553.22553</vt:lpwstr>
  </property>
</Properties>
</file>